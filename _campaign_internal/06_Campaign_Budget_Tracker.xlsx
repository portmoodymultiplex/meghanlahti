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undraising" sheetId="2" state="visible" r:id="rId4"/>
    <sheet name="Vendor Rates" sheetId="3" state="visible" r:id="rId5"/>
    <sheet name="Expenses" sheetId="4" state="visible" r:id="rId6"/>
    <sheet name="Scenario Calculato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<sst xmlns="http://schemas.openxmlformats.org/spreadsheetml/2006/main" count="208" uniqueCount="173">
  <si>
    <t xml:space="preserve">Meghan Lahti for Mayor 2026 — Campaign Budget</t>
  </si>
  <si>
    <t xml:space="preserve">Live tracker — every donation in, every dollar out, what's left to spend.</t>
  </si>
  <si>
    <t xml:space="preserve">KEY CAMPAIGN INFO</t>
  </si>
  <si>
    <t xml:space="preserve">FUNDS AT A GLANCE</t>
  </si>
  <si>
    <t xml:space="preserve">Election Day</t>
  </si>
  <si>
    <t xml:space="preserve">Verify exact date with Elections BC</t>
  </si>
  <si>
    <t xml:space="preserve">Total Raised</t>
  </si>
  <si>
    <t xml:space="preserve">Total Committed</t>
  </si>
  <si>
    <t xml:space="preserve">Remaining</t>
  </si>
  <si>
    <t xml:space="preserve">Days Until Election</t>
  </si>
  <si>
    <t xml:space="preserve">Campaign Account Holder</t>
  </si>
  <si>
    <t xml:space="preserve">Anthony Sandler (financial agent)</t>
  </si>
  <si>
    <t xml:space="preserve">Confirm with Meghan</t>
  </si>
  <si>
    <t xml:space="preserve">BC Max Donation / Individual</t>
  </si>
  <si>
    <t xml:space="preserve">Per BC Municipal Elections Finance Rules</t>
  </si>
  <si>
    <t xml:space="preserve">Eligible Donors</t>
  </si>
  <si>
    <t xml:space="preserve">BC residents only</t>
  </si>
  <si>
    <t xml:space="preserve">No corporate or union donations</t>
  </si>
  <si>
    <t xml:space="preserve">SPENDING BY CATEGORY</t>
  </si>
  <si>
    <t xml:space="preserve">Category</t>
  </si>
  <si>
    <t xml:space="preserve">Budgeted</t>
  </si>
  <si>
    <t xml:space="preserve">Committed</t>
  </si>
  <si>
    <t xml:space="preserve">Paid</t>
  </si>
  <si>
    <t xml:space="preserve">% of Budget</t>
  </si>
  <si>
    <t xml:space="preserve">Lawn Signs</t>
  </si>
  <si>
    <t xml:space="preserve">Door-knocking &amp; Literature</t>
  </si>
  <si>
    <t xml:space="preserve">Direct Mail</t>
  </si>
  <si>
    <t xml:space="preserve">Digital Ads (Facebook, Google)</t>
  </si>
  <si>
    <t xml:space="preserve">Print Ads (Tri-City News, etc.)</t>
  </si>
  <si>
    <t xml:space="preserve">Photography &amp; Video</t>
  </si>
  <si>
    <t xml:space="preserve">Website &amp; Tech</t>
  </si>
  <si>
    <t xml:space="preserve">Events (kickoff, town halls)</t>
  </si>
  <si>
    <t xml:space="preserve">Volunteer Costs (food, swag)</t>
  </si>
  <si>
    <t xml:space="preserve">Branded Merchandise</t>
  </si>
  <si>
    <t xml:space="preserve">Polling / Research</t>
  </si>
  <si>
    <t xml:space="preserve">Contingency (~10%)</t>
  </si>
  <si>
    <t xml:space="preserve">TOTAL</t>
  </si>
  <si>
    <t xml:space="preserve">HOW TO USE</t>
  </si>
  <si>
    <t xml:space="preserve">1. Edit YELLOW cells. They are inputs you control. Black cells are formulas — don't touch.</t>
  </si>
  <si>
    <t xml:space="preserve">2. Log every donation on the FUNDRAISING tab. Total Raised on this dashboard updates automatically.</t>
  </si>
  <si>
    <t xml:space="preserve">3. Log every expense on the EXPENSES tab. Use the 'Status' column: Planned / Committed / Paid.</t>
  </si>
  <si>
    <t xml:space="preserve">4. Update vendor rates on the VENDOR RATES tab as quotes come in.</t>
  </si>
  <si>
    <t xml:space="preserve">5. Use the SCENARIO CALCULATOR tab to test 'what if we mail all 14,000 households' before committing.</t>
  </si>
  <si>
    <t xml:space="preserve">6. Watch the Remaining number in the top-right. If it goes negative, slow down.</t>
  </si>
  <si>
    <t xml:space="preserve">Fundraising Tracker</t>
  </si>
  <si>
    <t xml:space="preserve">TOTAL RAISED</t>
  </si>
  <si>
    <t xml:space="preserve">PLEDGED</t>
  </si>
  <si>
    <t xml:space="preserve">Date</t>
  </si>
  <si>
    <t xml:space="preserve">Donor Name</t>
  </si>
  <si>
    <t xml:space="preserve">Email / Phone</t>
  </si>
  <si>
    <t xml:space="preserve">Amount</t>
  </si>
  <si>
    <t xml:space="preserve">Type</t>
  </si>
  <si>
    <t xml:space="preserve">Status</t>
  </si>
  <si>
    <t xml:space="preserve">Notes</t>
  </si>
  <si>
    <t xml:space="preserve">BC COMPLIANCE FLAG</t>
  </si>
  <si>
    <t xml:space="preserve">[Sample] Jane Smith</t>
  </si>
  <si>
    <t xml:space="preserve">jane@example.com</t>
  </si>
  <si>
    <t xml:space="preserve">Individual</t>
  </si>
  <si>
    <t xml:space="preserve">Received</t>
  </si>
  <si>
    <t xml:space="preserve">Fundraiser attendee</t>
  </si>
  <si>
    <t xml:space="preserve">Max per donor:</t>
  </si>
  <si>
    <t xml:space="preserve">[Sample] John Doe</t>
  </si>
  <si>
    <t xml:space="preserve">john@example.com</t>
  </si>
  <si>
    <t xml:space="preserve">Donors over limit:</t>
  </si>
  <si>
    <t xml:space="preserve">(Watch this — must stay zero)</t>
  </si>
  <si>
    <t xml:space="preserve">Vendor Rate Card</t>
  </si>
  <si>
    <t xml:space="preserve">Pre-loaded with industry estimates. Replace with real quotes as you get them. Yellow = your inputs.</t>
  </si>
  <si>
    <t xml:space="preserve">Item</t>
  </si>
  <si>
    <t xml:space="preserve">Vendor</t>
  </si>
  <si>
    <t xml:space="preserve">Unit</t>
  </si>
  <si>
    <t xml:space="preserve">Unit Rate</t>
  </si>
  <si>
    <t xml:space="preserve">Quote Date</t>
  </si>
  <si>
    <t xml:space="preserve">Lawn sign (yard, 18x24)</t>
  </si>
  <si>
    <t xml:space="preserve">TBD</t>
  </si>
  <si>
    <t xml:space="preserve">per sign</t>
  </si>
  <si>
    <t xml:space="preserve">Estimate $8-15. Quantity discounts at 200+</t>
  </si>
  <si>
    <t xml:space="preserve">Lawn sign stakes / wickets</t>
  </si>
  <si>
    <t xml:space="preserve">per stake</t>
  </si>
  <si>
    <t xml:space="preserve">Often bundled with signs</t>
  </si>
  <si>
    <t xml:space="preserve">Large signs (4x8)</t>
  </si>
  <si>
    <t xml:space="preserve">Estimate $80-150 each</t>
  </si>
  <si>
    <t xml:space="preserve">Door hangers / palm cards</t>
  </si>
  <si>
    <t xml:space="preserve">per piece</t>
  </si>
  <si>
    <t xml:space="preserve">Estimate $0.30-0.50; depends on stock &amp; qty</t>
  </si>
  <si>
    <t xml:space="preserve">Direct mail postcard (Canada Post)</t>
  </si>
  <si>
    <t xml:space="preserve">Canada Post Personalized Mail</t>
  </si>
  <si>
    <t xml:space="preserve">Estimate $0.40-0.60 incl. printing &amp; postage</t>
  </si>
  <si>
    <t xml:space="preserve">Lawn-sign installation</t>
  </si>
  <si>
    <t xml:space="preserve">Volunteer</t>
  </si>
  <si>
    <t xml:space="preserve">Volunteers cover this — $0</t>
  </si>
  <si>
    <t xml:space="preserve">Facebook / Meta ads</t>
  </si>
  <si>
    <t xml:space="preserve">Meta</t>
  </si>
  <si>
    <t xml:space="preserve">per $1 spend</t>
  </si>
  <si>
    <t xml:space="preserve">Variable CPM/CPC; budget-driven</t>
  </si>
  <si>
    <t xml:space="preserve">Google ads</t>
  </si>
  <si>
    <t xml:space="preserve">Google</t>
  </si>
  <si>
    <t xml:space="preserve">Variable; budget-driven</t>
  </si>
  <si>
    <t xml:space="preserve">Tri-City News print ad (1/4 page)</t>
  </si>
  <si>
    <t xml:space="preserve">Tri-City News</t>
  </si>
  <si>
    <t xml:space="preserve">per insertion</t>
  </si>
  <si>
    <t xml:space="preserve">Estimate — confirm rate card</t>
  </si>
  <si>
    <t xml:space="preserve">Photography (event)</t>
  </si>
  <si>
    <t xml:space="preserve">per session</t>
  </si>
  <si>
    <t xml:space="preserve">2-3 hr coverage</t>
  </si>
  <si>
    <t xml:space="preserve">Video (Butters Studio)</t>
  </si>
  <si>
    <t xml:space="preserve">Butters Studio</t>
  </si>
  <si>
    <t xml:space="preserve">per project</t>
  </si>
  <si>
    <t xml:space="preserve">Already commissioned — fill in actual cost</t>
  </si>
  <si>
    <t xml:space="preserve">Website hosting + domain</t>
  </si>
  <si>
    <t xml:space="preserve">Netlify + Registrar</t>
  </si>
  <si>
    <t xml:space="preserve">per year</t>
  </si>
  <si>
    <t xml:space="preserve">Small static-site hosting</t>
  </si>
  <si>
    <t xml:space="preserve">Email / CRM tool</t>
  </si>
  <si>
    <t xml:space="preserve">TBD (Mailchimp/Constant Contact)</t>
  </si>
  <si>
    <t xml:space="preserve">per month</t>
  </si>
  <si>
    <t xml:space="preserve">Free tier available under 500 contacts</t>
  </si>
  <si>
    <t xml:space="preserve">Buttons / pins</t>
  </si>
  <si>
    <t xml:space="preserve">per button</t>
  </si>
  <si>
    <t xml:space="preserve">Estimate</t>
  </si>
  <si>
    <t xml:space="preserve">T-shirts (volunteers)</t>
  </si>
  <si>
    <t xml:space="preserve">per shirt</t>
  </si>
  <si>
    <t xml:space="preserve">Event venue rental</t>
  </si>
  <si>
    <t xml:space="preserve">per event</t>
  </si>
  <si>
    <t xml:space="preserve">Community room or restaurant private space</t>
  </si>
  <si>
    <t xml:space="preserve">Catering (small event, 30 ppl)</t>
  </si>
  <si>
    <t xml:space="preserve">Light refreshments</t>
  </si>
  <si>
    <t xml:space="preserve">Polling (if any)</t>
  </si>
  <si>
    <t xml:space="preserve">Typically out-of-budget for municipal</t>
  </si>
  <si>
    <t xml:space="preserve">Expense Tracker</t>
  </si>
  <si>
    <t xml:space="preserve">TOTAL COMMITTED + PAID</t>
  </si>
  <si>
    <t xml:space="preserve">Description</t>
  </si>
  <si>
    <t xml:space="preserve">Quantity</t>
  </si>
  <si>
    <t xml:space="preserve">Total Cost</t>
  </si>
  <si>
    <t xml:space="preserve">Butters Studio — announcement video</t>
  </si>
  <si>
    <t xml:space="preserve">Planned</t>
  </si>
  <si>
    <t xml:space="preserve">Confirm final invoice</t>
  </si>
  <si>
    <t xml:space="preserve">Fundraiser venue + light catering</t>
  </si>
  <si>
    <t xml:space="preserve">Confirm exact spend with Meghan</t>
  </si>
  <si>
    <t xml:space="preserve">What-If Scenario Calculator</t>
  </si>
  <si>
    <t xml:space="preserve">Plug in numbers to see what something would cost BEFORE you commit. Yellow = your inputs.</t>
  </si>
  <si>
    <t xml:space="preserve">REFERENCE DATA</t>
  </si>
  <si>
    <t xml:space="preserve">Port Moody — total households (approx.)</t>
  </si>
  <si>
    <t xml:space="preserve">Verify with latest census</t>
  </si>
  <si>
    <t xml:space="preserve">Coronation Park / Balmoral Place units</t>
  </si>
  <si>
    <t xml:space="preserve">Per Leah Prentice</t>
  </si>
  <si>
    <t xml:space="preserve">Moody Centre area households (approx.)</t>
  </si>
  <si>
    <t xml:space="preserve">Estimate — verify</t>
  </si>
  <si>
    <t xml:space="preserve">Inlet Centre area households (approx.)</t>
  </si>
  <si>
    <t xml:space="preserve">Heritage Mountain households (approx.)</t>
  </si>
  <si>
    <t xml:space="preserve">SCENARIO A — DIRECT MAIL DROP</t>
  </si>
  <si>
    <t xml:space="preserve">Households to mail to</t>
  </si>
  <si>
    <t xml:space="preserve">Cost per piece (from Vendor Rates)</t>
  </si>
  <si>
    <t xml:space="preserve">Total cost</t>
  </si>
  <si>
    <t xml:space="preserve">% of $30K total budget</t>
  </si>
  <si>
    <t xml:space="preserve">SCENARIO B — LAWN SIGN PROGRAM</t>
  </si>
  <si>
    <t xml:space="preserve">Number of lawn signs</t>
  </si>
  <si>
    <t xml:space="preserve">Cost per sign</t>
  </si>
  <si>
    <t xml:space="preserve">Number of stakes</t>
  </si>
  <si>
    <t xml:space="preserve">Cost per stake</t>
  </si>
  <si>
    <t xml:space="preserve">Number of large 4x8 signs</t>
  </si>
  <si>
    <t xml:space="preserve">Cost per large sign</t>
  </si>
  <si>
    <t xml:space="preserve">SCENARIO C — DOOR-HANGER DROP</t>
  </si>
  <si>
    <t xml:space="preserve">Households to canvass</t>
  </si>
  <si>
    <t xml:space="preserve">Cost per door hanger</t>
  </si>
  <si>
    <t xml:space="preserve">Volunteers needed (~50 doors / hr / volunteer)</t>
  </si>
  <si>
    <t xml:space="preserve">Volunteer hours total</t>
  </si>
  <si>
    <t xml:space="preserve">SCENARIO D — DIGITAL AD SPEND</t>
  </si>
  <si>
    <t xml:space="preserve">Total ad budget ($)</t>
  </si>
  <si>
    <t xml:space="preserve">Estimated cost per click ($)</t>
  </si>
  <si>
    <t xml:space="preserve">Estimated clicks</t>
  </si>
  <si>
    <t xml:space="preserve">Estimated cost per 1000 impressions ($)</t>
  </si>
  <si>
    <t xml:space="preserve">Estimated impressions</t>
  </si>
  <si>
    <t xml:space="preserve">Reach as % of PM (rough)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</si>
</sst>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"/>
    <numFmt numFmtId="167" formatCode="\$#,##0;&quot;($&quot;#,##0\);\-"/>
    <numFmt numFmtId="168" formatCode="0.0%;\(0.0%\);\-"/>
    <numFmt numFmtId="169" formatCode="#,##0;\(#,##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22"/>
      <color rgb="FF1B2A4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4"/>
      <color rgb="FF0F5132"/>
      <name val="Arial"/>
      <family val="0"/>
      <charset val="1"/>
    </font>
    <font>
      <b val="true"/>
      <sz val="14"/>
      <color rgb="FF664D03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4"/>
      <color rgb="FF9C000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D63D7B"/>
        <bgColor rgb="FF993366"/>
      </patternFill>
    </fill>
    <fill>
      <patternFill patternType="solid">
        <fgColor rgb="FFF0EDEA"/>
        <bgColor rgb="FFFAEEF5"/>
      </patternFill>
    </fill>
    <fill>
      <patternFill patternType="solid">
        <fgColor rgb="FFFFF9C4"/>
        <bgColor rgb="FFFFF3CD"/>
      </patternFill>
    </fill>
    <fill>
      <patternFill patternType="solid">
        <fgColor rgb="FFFAEEF5"/>
        <bgColor rgb="FFF7F4EF"/>
      </patternFill>
    </fill>
    <fill>
      <patternFill patternType="solid">
        <fgColor rgb="FFF7F4EF"/>
        <bgColor rgb="FFFAEEF5"/>
      </patternFill>
    </fill>
    <fill>
      <patternFill patternType="solid">
        <fgColor rgb="FFD1E7DD"/>
        <bgColor rgb="FFF0EDEA"/>
      </patternFill>
    </fill>
    <fill>
      <patternFill patternType="solid">
        <fgColor rgb="FFFFF3CD"/>
        <bgColor rgb="FFFFF9C4"/>
      </patternFill>
    </fill>
    <fill>
      <patternFill patternType="solid">
        <fgColor rgb="FFFFE4E1"/>
        <bgColor rgb="FFFAEE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2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7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D63D7B"/>
      <rgbColor rgb="FFFFF9C4"/>
      <rgbColor rgb="FFF0EDEA"/>
      <rgbColor rgb="FF660066"/>
      <rgbColor rgb="FFFF8080"/>
      <rgbColor rgb="FF0066CC"/>
      <rgbColor rgb="FFFFE4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4EF"/>
      <rgbColor rgb="FFD1E7DD"/>
      <rgbColor rgb="FFFFF3CD"/>
      <rgbColor rgb="FFFAEEF5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F5132"/>
      <rgbColor rgb="FF664D03"/>
      <rgbColor rgb="FF993300"/>
      <rgbColor rgb="FF993366"/>
      <rgbColor rgb="FF555555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6"/>
    <col collapsed="false" customWidth="true" hidden="false" outlineLevel="0" max="6" min="6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4" t="s">
        <v>3</v>
      </c>
      <c r="E4" s="4"/>
      <c r="F4" s="4"/>
    </row>
    <row r="5" customFormat="false" ht="21.75" hidden="false" customHeight="true" outlineLevel="0" collapsed="false">
      <c r="A5" s="5" t="s">
        <v>4</v>
      </c>
      <c r="B5" s="6" t="n">
        <v>46312</v>
      </c>
      <c r="C5" s="7" t="s">
        <v>5</v>
      </c>
      <c r="D5" s="8" t="s">
        <v>6</v>
      </c>
      <c r="E5" s="8" t="s">
        <v>7</v>
      </c>
      <c r="F5" s="8" t="s">
        <v>8</v>
      </c>
    </row>
    <row r="6" customFormat="false" ht="36" hidden="false" customHeight="true" outlineLevel="0" collapsed="false">
      <c r="A6" s="5" t="s">
        <v>9</v>
      </c>
      <c r="B6" s="9" t="n">
        <f aca="true">$B$5-TODAY()</f>
        <v>170</v>
      </c>
      <c r="C6" s="7"/>
      <c r="D6" s="10" t="n">
        <f aca="false">Fundraising!E2</f>
        <v>700</v>
      </c>
      <c r="E6" s="10" t="n">
        <f aca="false">Expenses!H2</f>
        <v>0</v>
      </c>
      <c r="F6" s="10" t="n">
        <f aca="false">D6-E6</f>
        <v>700</v>
      </c>
    </row>
    <row r="7" customFormat="false" ht="15" hidden="false" customHeight="false" outlineLevel="0" collapsed="false">
      <c r="A7" s="5" t="s">
        <v>10</v>
      </c>
      <c r="B7" s="11" t="s">
        <v>11</v>
      </c>
      <c r="C7" s="7" t="s">
        <v>12</v>
      </c>
    </row>
    <row r="8" customFormat="false" ht="15" hidden="false" customHeight="false" outlineLevel="0" collapsed="false">
      <c r="A8" s="5" t="s">
        <v>13</v>
      </c>
      <c r="B8" s="12" t="n">
        <v>1429.7</v>
      </c>
      <c r="C8" s="7" t="s">
        <v>14</v>
      </c>
    </row>
    <row r="9" customFormat="false" ht="15" hidden="false" customHeight="false" outlineLevel="0" collapsed="false">
      <c r="A9" s="5" t="s">
        <v>15</v>
      </c>
      <c r="B9" s="11" t="s">
        <v>16</v>
      </c>
      <c r="C9" s="7" t="s">
        <v>17</v>
      </c>
    </row>
    <row r="10" customFormat="false" ht="13.5" hidden="false" customHeight="true" outlineLevel="0" collapsed="false"/>
    <row r="12" customFormat="false" ht="24" hidden="false" customHeight="true" outlineLevel="0" collapsed="false">
      <c r="A12" s="13" t="s">
        <v>18</v>
      </c>
      <c r="B12" s="13"/>
      <c r="C12" s="13"/>
      <c r="D12" s="13"/>
      <c r="E12" s="13"/>
      <c r="F12" s="13"/>
    </row>
    <row r="13" customFormat="false" ht="24" hidden="false" customHeight="true" outlineLevel="0" collapsed="false">
      <c r="A13" s="14" t="s">
        <v>19</v>
      </c>
      <c r="B13" s="14" t="s">
        <v>20</v>
      </c>
      <c r="C13" s="14" t="s">
        <v>21</v>
      </c>
      <c r="D13" s="14" t="s">
        <v>22</v>
      </c>
      <c r="E13" s="14" t="s">
        <v>8</v>
      </c>
      <c r="F13" s="14" t="s">
        <v>23</v>
      </c>
    </row>
    <row r="14" customFormat="false" ht="15" hidden="false" customHeight="false" outlineLevel="0" collapsed="false">
      <c r="A14" s="15" t="s">
        <v>24</v>
      </c>
      <c r="B14" s="16" t="n">
        <v>5000</v>
      </c>
      <c r="C14" s="17" t="n">
        <f aca="false">SUMIFS(Expenses!$F:$F,Expenses!$B:$B,$A14,Expenses!$G:$G,"Committed")+SUMIFS(Expenses!$F:$F,Expenses!$B:$B,$A14,Expenses!$G:$G,"Planned")+SUMIFS(Expenses!$F:$F,Expenses!$B:$B,$A14,Expenses!$G:$G,"Paid")</f>
        <v>0</v>
      </c>
      <c r="D14" s="17" t="n">
        <f aca="false">SUMIFS(Expenses!$F:$F,Expenses!$B:$B,$A14,Expenses!$G:$G,"Paid")</f>
        <v>0</v>
      </c>
      <c r="E14" s="17" t="n">
        <f aca="false">B14-C14</f>
        <v>5000</v>
      </c>
      <c r="F14" s="18" t="n">
        <f aca="false">IFERROR(C14/B14,0)</f>
        <v>0</v>
      </c>
    </row>
    <row r="15" customFormat="false" ht="15" hidden="false" customHeight="false" outlineLevel="0" collapsed="false">
      <c r="A15" s="15" t="s">
        <v>25</v>
      </c>
      <c r="B15" s="16" t="n">
        <v>2000</v>
      </c>
      <c r="C15" s="17" t="n">
        <f aca="false">SUMIFS(Expenses!$F:$F,Expenses!$B:$B,$A15,Expenses!$G:$G,"Committed")+SUMIFS(Expenses!$F:$F,Expenses!$B:$B,$A15,Expenses!$G:$G,"Planned")+SUMIFS(Expenses!$F:$F,Expenses!$B:$B,$A15,Expenses!$G:$G,"Paid")</f>
        <v>0</v>
      </c>
      <c r="D15" s="17" t="n">
        <f aca="false">SUMIFS(Expenses!$F:$F,Expenses!$B:$B,$A15,Expenses!$G:$G,"Paid")</f>
        <v>0</v>
      </c>
      <c r="E15" s="17" t="n">
        <f aca="false">B15-C15</f>
        <v>2000</v>
      </c>
      <c r="F15" s="18" t="n">
        <f aca="false">IFERROR(C15/B15,0)</f>
        <v>0</v>
      </c>
    </row>
    <row r="16" customFormat="false" ht="15" hidden="false" customHeight="false" outlineLevel="0" collapsed="false">
      <c r="A16" s="15" t="s">
        <v>26</v>
      </c>
      <c r="B16" s="16" t="n">
        <v>6000</v>
      </c>
      <c r="C16" s="17" t="n">
        <f aca="false">SUMIFS(Expenses!$F:$F,Expenses!$B:$B,$A16,Expenses!$G:$G,"Committed")+SUMIFS(Expenses!$F:$F,Expenses!$B:$B,$A16,Expenses!$G:$G,"Planned")+SUMIFS(Expenses!$F:$F,Expenses!$B:$B,$A16,Expenses!$G:$G,"Paid")</f>
        <v>0</v>
      </c>
      <c r="D16" s="17" t="n">
        <f aca="false">SUMIFS(Expenses!$F:$F,Expenses!$B:$B,$A16,Expenses!$G:$G,"Paid")</f>
        <v>0</v>
      </c>
      <c r="E16" s="17" t="n">
        <f aca="false">B16-C16</f>
        <v>6000</v>
      </c>
      <c r="F16" s="18" t="n">
        <f aca="false">IFERROR(C16/B16,0)</f>
        <v>0</v>
      </c>
    </row>
    <row r="17" customFormat="false" ht="15" hidden="false" customHeight="false" outlineLevel="0" collapsed="false">
      <c r="A17" s="15" t="s">
        <v>27</v>
      </c>
      <c r="B17" s="16" t="n">
        <v>3000</v>
      </c>
      <c r="C17" s="17" t="n">
        <f aca="false">SUMIFS(Expenses!$F:$F,Expenses!$B:$B,$A17,Expenses!$G:$G,"Committed")+SUMIFS(Expenses!$F:$F,Expenses!$B:$B,$A17,Expenses!$G:$G,"Planned")+SUMIFS(Expenses!$F:$F,Expenses!$B:$B,$A17,Expenses!$G:$G,"Paid")</f>
        <v>0</v>
      </c>
      <c r="D17" s="17" t="n">
        <f aca="false">SUMIFS(Expenses!$F:$F,Expenses!$B:$B,$A17,Expenses!$G:$G,"Paid")</f>
        <v>0</v>
      </c>
      <c r="E17" s="17" t="n">
        <f aca="false">B17-C17</f>
        <v>3000</v>
      </c>
      <c r="F17" s="18" t="n">
        <f aca="false">IFERROR(C17/B17,0)</f>
        <v>0</v>
      </c>
    </row>
    <row r="18" customFormat="false" ht="15" hidden="false" customHeight="false" outlineLevel="0" collapsed="false">
      <c r="A18" s="15" t="s">
        <v>28</v>
      </c>
      <c r="B18" s="16" t="n">
        <v>2000</v>
      </c>
      <c r="C18" s="17" t="n">
        <f aca="false">SUMIFS(Expenses!$F:$F,Expenses!$B:$B,$A18,Expenses!$G:$G,"Committed")+SUMIFS(Expenses!$F:$F,Expenses!$B:$B,$A18,Expenses!$G:$G,"Planned")+SUMIFS(Expenses!$F:$F,Expenses!$B:$B,$A18,Expenses!$G:$G,"Paid")</f>
        <v>0</v>
      </c>
      <c r="D18" s="17" t="n">
        <f aca="false">SUMIFS(Expenses!$F:$F,Expenses!$B:$B,$A18,Expenses!$G:$G,"Paid")</f>
        <v>0</v>
      </c>
      <c r="E18" s="17" t="n">
        <f aca="false">B18-C18</f>
        <v>2000</v>
      </c>
      <c r="F18" s="18" t="n">
        <f aca="false">IFERROR(C18/B18,0)</f>
        <v>0</v>
      </c>
    </row>
    <row r="19" customFormat="false" ht="15" hidden="false" customHeight="false" outlineLevel="0" collapsed="false">
      <c r="A19" s="15" t="s">
        <v>29</v>
      </c>
      <c r="B19" s="16" t="n">
        <v>1500</v>
      </c>
      <c r="C19" s="17" t="n">
        <f aca="false">SUMIFS(Expenses!$F:$F,Expenses!$B:$B,$A19,Expenses!$G:$G,"Committed")+SUMIFS(Expenses!$F:$F,Expenses!$B:$B,$A19,Expenses!$G:$G,"Planned")+SUMIFS(Expenses!$F:$F,Expenses!$B:$B,$A19,Expenses!$G:$G,"Paid")</f>
        <v>0</v>
      </c>
      <c r="D19" s="17" t="n">
        <f aca="false">SUMIFS(Expenses!$F:$F,Expenses!$B:$B,$A19,Expenses!$G:$G,"Paid")</f>
        <v>0</v>
      </c>
      <c r="E19" s="17" t="n">
        <f aca="false">B19-C19</f>
        <v>1500</v>
      </c>
      <c r="F19" s="18" t="n">
        <f aca="false">IFERROR(C19/B19,0)</f>
        <v>0</v>
      </c>
    </row>
    <row r="20" customFormat="false" ht="15" hidden="false" customHeight="false" outlineLevel="0" collapsed="false">
      <c r="A20" s="15" t="s">
        <v>30</v>
      </c>
      <c r="B20" s="16" t="n">
        <v>1000</v>
      </c>
      <c r="C20" s="17" t="n">
        <f aca="false">SUMIFS(Expenses!$F:$F,Expenses!$B:$B,$A20,Expenses!$G:$G,"Committed")+SUMIFS(Expenses!$F:$F,Expenses!$B:$B,$A20,Expenses!$G:$G,"Planned")+SUMIFS(Expenses!$F:$F,Expenses!$B:$B,$A20,Expenses!$G:$G,"Paid")</f>
        <v>0</v>
      </c>
      <c r="D20" s="17" t="n">
        <f aca="false">SUMIFS(Expenses!$F:$F,Expenses!$B:$B,$A20,Expenses!$G:$G,"Paid")</f>
        <v>0</v>
      </c>
      <c r="E20" s="17" t="n">
        <f aca="false">B20-C20</f>
        <v>1000</v>
      </c>
      <c r="F20" s="18" t="n">
        <f aca="false">IFERROR(C20/B20,0)</f>
        <v>0</v>
      </c>
    </row>
    <row r="21" customFormat="false" ht="15" hidden="false" customHeight="false" outlineLevel="0" collapsed="false">
      <c r="A21" s="15" t="s">
        <v>31</v>
      </c>
      <c r="B21" s="16" t="n">
        <v>2500</v>
      </c>
      <c r="C21" s="17" t="n">
        <f aca="false">SUMIFS(Expenses!$F:$F,Expenses!$B:$B,$A21,Expenses!$G:$G,"Committed")+SUMIFS(Expenses!$F:$F,Expenses!$B:$B,$A21,Expenses!$G:$G,"Planned")+SUMIFS(Expenses!$F:$F,Expenses!$B:$B,$A21,Expenses!$G:$G,"Paid")</f>
        <v>0</v>
      </c>
      <c r="D21" s="17" t="n">
        <f aca="false">SUMIFS(Expenses!$F:$F,Expenses!$B:$B,$A21,Expenses!$G:$G,"Paid")</f>
        <v>0</v>
      </c>
      <c r="E21" s="17" t="n">
        <f aca="false">B21-C21</f>
        <v>2500</v>
      </c>
      <c r="F21" s="18" t="n">
        <f aca="false">IFERROR(C21/B21,0)</f>
        <v>0</v>
      </c>
    </row>
    <row r="22" customFormat="false" ht="15" hidden="false" customHeight="false" outlineLevel="0" collapsed="false">
      <c r="A22" s="15" t="s">
        <v>32</v>
      </c>
      <c r="B22" s="16" t="n">
        <v>1000</v>
      </c>
      <c r="C22" s="17" t="n">
        <f aca="false">SUMIFS(Expenses!$F:$F,Expenses!$B:$B,$A22,Expenses!$G:$G,"Committed")+SUMIFS(Expenses!$F:$F,Expenses!$B:$B,$A22,Expenses!$G:$G,"Planned")+SUMIFS(Expenses!$F:$F,Expenses!$B:$B,$A22,Expenses!$G:$G,"Paid")</f>
        <v>0</v>
      </c>
      <c r="D22" s="17" t="n">
        <f aca="false">SUMIFS(Expenses!$F:$F,Expenses!$B:$B,$A22,Expenses!$G:$G,"Paid")</f>
        <v>0</v>
      </c>
      <c r="E22" s="17" t="n">
        <f aca="false">B22-C22</f>
        <v>1000</v>
      </c>
      <c r="F22" s="18" t="n">
        <f aca="false">IFERROR(C22/B22,0)</f>
        <v>0</v>
      </c>
    </row>
    <row r="23" customFormat="false" ht="15" hidden="false" customHeight="false" outlineLevel="0" collapsed="false">
      <c r="A23" s="15" t="s">
        <v>33</v>
      </c>
      <c r="B23" s="16" t="n">
        <v>1500</v>
      </c>
      <c r="C23" s="17" t="n">
        <f aca="false">SUMIFS(Expenses!$F:$F,Expenses!$B:$B,$A23,Expenses!$G:$G,"Committed")+SUMIFS(Expenses!$F:$F,Expenses!$B:$B,$A23,Expenses!$G:$G,"Planned")+SUMIFS(Expenses!$F:$F,Expenses!$B:$B,$A23,Expenses!$G:$G,"Paid")</f>
        <v>0</v>
      </c>
      <c r="D23" s="17" t="n">
        <f aca="false">SUMIFS(Expenses!$F:$F,Expenses!$B:$B,$A23,Expenses!$G:$G,"Paid")</f>
        <v>0</v>
      </c>
      <c r="E23" s="17" t="n">
        <f aca="false">B23-C23</f>
        <v>1500</v>
      </c>
      <c r="F23" s="18" t="n">
        <f aca="false">IFERROR(C23/B23,0)</f>
        <v>0</v>
      </c>
    </row>
    <row r="24" customFormat="false" ht="15" hidden="false" customHeight="false" outlineLevel="0" collapsed="false">
      <c r="A24" s="15" t="s">
        <v>34</v>
      </c>
      <c r="B24" s="16" t="n">
        <v>0</v>
      </c>
      <c r="C24" s="17" t="n">
        <f aca="false">SUMIFS(Expenses!$F:$F,Expenses!$B:$B,$A24,Expenses!$G:$G,"Committed")+SUMIFS(Expenses!$F:$F,Expenses!$B:$B,$A24,Expenses!$G:$G,"Planned")+SUMIFS(Expenses!$F:$F,Expenses!$B:$B,$A24,Expenses!$G:$G,"Paid")</f>
        <v>0</v>
      </c>
      <c r="D24" s="17" t="n">
        <f aca="false">SUMIFS(Expenses!$F:$F,Expenses!$B:$B,$A24,Expenses!$G:$G,"Paid")</f>
        <v>0</v>
      </c>
      <c r="E24" s="17" t="n">
        <f aca="false">B24-C24</f>
        <v>0</v>
      </c>
      <c r="F24" s="18" t="n">
        <f aca="false">IFERROR(C24/B24,0)</f>
        <v>0</v>
      </c>
    </row>
    <row r="25" customFormat="false" ht="15" hidden="false" customHeight="false" outlineLevel="0" collapsed="false">
      <c r="A25" s="15" t="s">
        <v>35</v>
      </c>
      <c r="B25" s="16" t="n">
        <v>2500</v>
      </c>
      <c r="C25" s="17" t="n">
        <f aca="false">SUMIFS(Expenses!$F:$F,Expenses!$B:$B,$A25,Expenses!$G:$G,"Committed")+SUMIFS(Expenses!$F:$F,Expenses!$B:$B,$A25,Expenses!$G:$G,"Planned")+SUMIFS(Expenses!$F:$F,Expenses!$B:$B,$A25,Expenses!$G:$G,"Paid")</f>
        <v>0</v>
      </c>
      <c r="D25" s="17" t="n">
        <f aca="false">SUMIFS(Expenses!$F:$F,Expenses!$B:$B,$A25,Expenses!$G:$G,"Paid")</f>
        <v>0</v>
      </c>
      <c r="E25" s="17" t="n">
        <f aca="false">B25-C25</f>
        <v>2500</v>
      </c>
      <c r="F25" s="18" t="n">
        <f aca="false">IFERROR(C25/B25,0)</f>
        <v>0</v>
      </c>
    </row>
    <row r="26" customFormat="false" ht="15" hidden="false" customHeight="false" outlineLevel="0" collapsed="false">
      <c r="A26" s="19" t="s">
        <v>36</v>
      </c>
      <c r="B26" s="20" t="n">
        <f aca="false">SUM(B14:B25)</f>
        <v>28000</v>
      </c>
      <c r="C26" s="20" t="n">
        <f aca="false">SUM(C14:C25)</f>
        <v>0</v>
      </c>
      <c r="D26" s="20" t="n">
        <f aca="false">SUM(D14:D25)</f>
        <v>0</v>
      </c>
      <c r="E26" s="20" t="n">
        <f aca="false">SUM(E14:E25)</f>
        <v>28000</v>
      </c>
      <c r="F26" s="21" t="n">
        <f aca="false">IFERROR(C26/B26,0)</f>
        <v>0</v>
      </c>
    </row>
    <row r="28" customFormat="false" ht="15" hidden="false" customHeight="false" outlineLevel="0" collapsed="false">
      <c r="A28" s="22" t="s">
        <v>37</v>
      </c>
      <c r="B28" s="22"/>
      <c r="C28" s="22"/>
      <c r="D28" s="22"/>
      <c r="E28" s="22"/>
      <c r="F28" s="22"/>
    </row>
    <row r="29" customFormat="false" ht="18" hidden="false" customHeight="true" outlineLevel="0" collapsed="false">
      <c r="A29" s="23" t="s">
        <v>38</v>
      </c>
      <c r="B29" s="23"/>
      <c r="C29" s="23"/>
      <c r="D29" s="23"/>
      <c r="E29" s="23"/>
      <c r="F29" s="23"/>
    </row>
    <row r="30" customFormat="false" ht="18" hidden="false" customHeight="true" outlineLevel="0" collapsed="false">
      <c r="A30" s="23" t="s">
        <v>39</v>
      </c>
      <c r="B30" s="23"/>
      <c r="C30" s="23"/>
      <c r="D30" s="23"/>
      <c r="E30" s="23"/>
      <c r="F30" s="23"/>
    </row>
    <row r="31" customFormat="false" ht="18" hidden="false" customHeight="true" outlineLevel="0" collapsed="false">
      <c r="A31" s="23" t="s">
        <v>40</v>
      </c>
      <c r="B31" s="23"/>
      <c r="C31" s="23"/>
      <c r="D31" s="23"/>
      <c r="E31" s="23"/>
      <c r="F31" s="23"/>
    </row>
    <row r="32" customFormat="false" ht="18" hidden="false" customHeight="true" outlineLevel="0" collapsed="false">
      <c r="A32" s="23" t="s">
        <v>41</v>
      </c>
      <c r="B32" s="23"/>
      <c r="C32" s="23"/>
      <c r="D32" s="23"/>
      <c r="E32" s="23"/>
      <c r="F32" s="23"/>
    </row>
    <row r="33" customFormat="false" ht="18" hidden="false" customHeight="true" outlineLevel="0" collapsed="false">
      <c r="A33" s="23" t="s">
        <v>42</v>
      </c>
      <c r="B33" s="23"/>
      <c r="C33" s="23"/>
      <c r="D33" s="23"/>
      <c r="E33" s="23"/>
      <c r="F33" s="23"/>
    </row>
    <row r="34" customFormat="false" ht="18" hidden="false" customHeight="true" outlineLevel="0" collapsed="false">
      <c r="A34" s="23" t="s">
        <v>43</v>
      </c>
      <c r="B34" s="23"/>
      <c r="C34" s="23"/>
      <c r="D34" s="23"/>
      <c r="E34" s="23"/>
      <c r="F34" s="23"/>
    </row>
  </sheetData>
  <mergeCells count="12">
    <mergeCell ref="A1:F1"/>
    <mergeCell ref="A2:F2"/>
    <mergeCell ref="A4:C4"/>
    <mergeCell ref="D4:F4"/>
    <mergeCell ref="A12:F12"/>
    <mergeCell ref="A28:F28"/>
    <mergeCell ref="A29:F29"/>
    <mergeCell ref="A30:F30"/>
    <mergeCell ref="A31:F31"/>
    <mergeCell ref="A32:F32"/>
    <mergeCell ref="A33:F33"/>
    <mergeCell ref="A34:F34"/>
  </mergeCells>
  <conditionalFormatting sqref="E14:E26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8"/>
  </cols>
  <sheetData>
    <row r="1" customFormat="false" ht="31.5" hidden="false" customHeight="true" outlineLevel="0" collapsed="false">
      <c r="A1" s="24" t="s">
        <v>44</v>
      </c>
      <c r="B1" s="24"/>
      <c r="C1" s="24"/>
      <c r="D1" s="24"/>
      <c r="E1" s="24"/>
      <c r="F1" s="24"/>
      <c r="G1" s="24"/>
    </row>
    <row r="2" customFormat="false" ht="17.35" hidden="false" customHeight="false" outlineLevel="0" collapsed="false">
      <c r="D2" s="25" t="s">
        <v>45</v>
      </c>
      <c r="E2" s="26" t="n">
        <f aca="false">SUMIF(F:F,"Received",D:D)</f>
        <v>700</v>
      </c>
      <c r="F2" s="25" t="s">
        <v>46</v>
      </c>
      <c r="G2" s="27" t="n">
        <f aca="false">SUMIF(F:F,"Pledged",D:D)</f>
        <v>0</v>
      </c>
    </row>
    <row r="4" customFormat="false" ht="24" hidden="false" customHeight="true" outlineLevel="0" collapsed="false">
      <c r="A4" s="14" t="s">
        <v>47</v>
      </c>
      <c r="B4" s="14" t="s">
        <v>48</v>
      </c>
      <c r="C4" s="14" t="s">
        <v>49</v>
      </c>
      <c r="D4" s="14" t="s">
        <v>50</v>
      </c>
      <c r="E4" s="14" t="s">
        <v>51</v>
      </c>
      <c r="F4" s="14" t="s">
        <v>52</v>
      </c>
      <c r="G4" s="14" t="s">
        <v>53</v>
      </c>
      <c r="I4" s="3" t="s">
        <v>54</v>
      </c>
      <c r="J4" s="3"/>
      <c r="K4" s="3"/>
    </row>
    <row r="5" customFormat="false" ht="15" hidden="false" customHeight="false" outlineLevel="0" collapsed="false">
      <c r="A5" s="28" t="n">
        <v>46128</v>
      </c>
      <c r="B5" s="29" t="s">
        <v>55</v>
      </c>
      <c r="C5" s="29" t="s">
        <v>56</v>
      </c>
      <c r="D5" s="16" t="n">
        <v>200</v>
      </c>
      <c r="E5" s="29" t="s">
        <v>57</v>
      </c>
      <c r="F5" s="29" t="s">
        <v>58</v>
      </c>
      <c r="G5" s="29" t="s">
        <v>59</v>
      </c>
      <c r="I5" s="0" t="s">
        <v>60</v>
      </c>
      <c r="J5" s="30" t="n">
        <f aca="false">Dashboard!B8</f>
        <v>1429.7</v>
      </c>
    </row>
    <row r="6" customFormat="false" ht="15" hidden="false" customHeight="false" outlineLevel="0" collapsed="false">
      <c r="A6" s="28" t="n">
        <v>46128</v>
      </c>
      <c r="B6" s="29" t="s">
        <v>61</v>
      </c>
      <c r="C6" s="29" t="s">
        <v>62</v>
      </c>
      <c r="D6" s="16" t="n">
        <v>500</v>
      </c>
      <c r="E6" s="29" t="s">
        <v>57</v>
      </c>
      <c r="F6" s="29" t="s">
        <v>58</v>
      </c>
      <c r="G6" s="29" t="s">
        <v>59</v>
      </c>
      <c r="I6" s="0" t="s">
        <v>63</v>
      </c>
      <c r="J6" s="31" t="n">
        <f aca="false">IFERROR(SUMPRODUCT((D5:D500&gt;0)*(SUMIF(B5:B500,B5:B500,D5:D500)&gt;J5)/COUNTIF(B5:B500,B5:B500&amp;"")),0)</f>
        <v>0</v>
      </c>
    </row>
    <row r="7" customFormat="false" ht="15" hidden="false" customHeight="false" outlineLevel="0" collapsed="false">
      <c r="A7" s="28"/>
      <c r="B7" s="29"/>
      <c r="C7" s="29"/>
      <c r="D7" s="16"/>
      <c r="E7" s="29"/>
      <c r="F7" s="29"/>
      <c r="G7" s="29"/>
      <c r="I7" s="32" t="s">
        <v>64</v>
      </c>
      <c r="J7" s="32"/>
      <c r="K7" s="32"/>
    </row>
    <row r="8" customFormat="false" ht="15" hidden="false" customHeight="false" outlineLevel="0" collapsed="false">
      <c r="A8" s="28"/>
      <c r="B8" s="29"/>
      <c r="C8" s="29"/>
      <c r="D8" s="16"/>
      <c r="E8" s="29"/>
      <c r="F8" s="29"/>
      <c r="G8" s="29"/>
    </row>
    <row r="9" customFormat="false" ht="15" hidden="false" customHeight="false" outlineLevel="0" collapsed="false">
      <c r="A9" s="28"/>
      <c r="B9" s="29"/>
      <c r="C9" s="29"/>
      <c r="D9" s="16"/>
      <c r="E9" s="29"/>
      <c r="F9" s="29"/>
      <c r="G9" s="29"/>
    </row>
    <row r="10" customFormat="false" ht="15" hidden="false" customHeight="false" outlineLevel="0" collapsed="false">
      <c r="A10" s="28"/>
      <c r="B10" s="29"/>
      <c r="C10" s="29"/>
      <c r="D10" s="16"/>
      <c r="E10" s="29"/>
      <c r="F10" s="29"/>
      <c r="G10" s="29"/>
    </row>
    <row r="11" customFormat="false" ht="15" hidden="false" customHeight="false" outlineLevel="0" collapsed="false">
      <c r="A11" s="28"/>
      <c r="B11" s="29"/>
      <c r="C11" s="29"/>
      <c r="D11" s="16"/>
      <c r="E11" s="29"/>
      <c r="F11" s="29"/>
      <c r="G11" s="29"/>
    </row>
    <row r="12" customFormat="false" ht="15" hidden="false" customHeight="false" outlineLevel="0" collapsed="false">
      <c r="A12" s="28"/>
      <c r="B12" s="29"/>
      <c r="C12" s="29"/>
      <c r="D12" s="16"/>
      <c r="E12" s="29"/>
      <c r="F12" s="29"/>
      <c r="G12" s="29"/>
    </row>
    <row r="13" customFormat="false" ht="15" hidden="false" customHeight="false" outlineLevel="0" collapsed="false">
      <c r="A13" s="28"/>
      <c r="B13" s="29"/>
      <c r="C13" s="29"/>
      <c r="D13" s="16"/>
      <c r="E13" s="29"/>
      <c r="F13" s="29"/>
      <c r="G13" s="29"/>
    </row>
    <row r="14" customFormat="false" ht="15" hidden="false" customHeight="false" outlineLevel="0" collapsed="false">
      <c r="A14" s="28"/>
      <c r="B14" s="29"/>
      <c r="C14" s="29"/>
      <c r="D14" s="16"/>
      <c r="E14" s="29"/>
      <c r="F14" s="29"/>
      <c r="G14" s="29"/>
    </row>
    <row r="15" customFormat="false" ht="15" hidden="false" customHeight="false" outlineLevel="0" collapsed="false">
      <c r="A15" s="28"/>
      <c r="B15" s="29"/>
      <c r="C15" s="29"/>
      <c r="D15" s="16"/>
      <c r="E15" s="29"/>
      <c r="F15" s="29"/>
      <c r="G15" s="29"/>
    </row>
    <row r="16" customFormat="false" ht="15" hidden="false" customHeight="false" outlineLevel="0" collapsed="false">
      <c r="A16" s="28"/>
      <c r="B16" s="29"/>
      <c r="C16" s="29"/>
      <c r="D16" s="16"/>
      <c r="E16" s="29"/>
      <c r="F16" s="29"/>
      <c r="G16" s="29"/>
    </row>
    <row r="17" customFormat="false" ht="15" hidden="false" customHeight="false" outlineLevel="0" collapsed="false">
      <c r="A17" s="28"/>
      <c r="B17" s="29"/>
      <c r="C17" s="29"/>
      <c r="D17" s="16"/>
      <c r="E17" s="29"/>
      <c r="F17" s="29"/>
      <c r="G17" s="29"/>
    </row>
    <row r="18" customFormat="false" ht="15" hidden="false" customHeight="false" outlineLevel="0" collapsed="false">
      <c r="A18" s="28"/>
      <c r="B18" s="29"/>
      <c r="C18" s="29"/>
      <c r="D18" s="16"/>
      <c r="E18" s="29"/>
      <c r="F18" s="29"/>
      <c r="G18" s="29"/>
    </row>
    <row r="19" customFormat="false" ht="15" hidden="false" customHeight="false" outlineLevel="0" collapsed="false">
      <c r="A19" s="28"/>
      <c r="B19" s="29"/>
      <c r="C19" s="29"/>
      <c r="D19" s="16"/>
      <c r="E19" s="29"/>
      <c r="F19" s="29"/>
      <c r="G19" s="29"/>
    </row>
    <row r="20" customFormat="false" ht="15" hidden="false" customHeight="false" outlineLevel="0" collapsed="false">
      <c r="A20" s="28"/>
      <c r="B20" s="29"/>
      <c r="C20" s="29"/>
      <c r="D20" s="16"/>
      <c r="E20" s="29"/>
      <c r="F20" s="29"/>
      <c r="G20" s="29"/>
    </row>
    <row r="21" customFormat="false" ht="15" hidden="false" customHeight="false" outlineLevel="0" collapsed="false">
      <c r="A21" s="28"/>
      <c r="B21" s="29"/>
      <c r="C21" s="29"/>
      <c r="D21" s="16"/>
      <c r="E21" s="29"/>
      <c r="F21" s="29"/>
      <c r="G21" s="29"/>
    </row>
    <row r="22" customFormat="false" ht="15" hidden="false" customHeight="false" outlineLevel="0" collapsed="false">
      <c r="A22" s="28"/>
      <c r="B22" s="29"/>
      <c r="C22" s="29"/>
      <c r="D22" s="16"/>
      <c r="E22" s="29"/>
      <c r="F22" s="29"/>
      <c r="G22" s="29"/>
    </row>
    <row r="23" customFormat="false" ht="15" hidden="false" customHeight="false" outlineLevel="0" collapsed="false">
      <c r="A23" s="28"/>
      <c r="B23" s="29"/>
      <c r="C23" s="29"/>
      <c r="D23" s="16"/>
      <c r="E23" s="29"/>
      <c r="F23" s="29"/>
      <c r="G23" s="29"/>
    </row>
    <row r="24" customFormat="false" ht="15" hidden="false" customHeight="false" outlineLevel="0" collapsed="false">
      <c r="A24" s="28"/>
      <c r="B24" s="29"/>
      <c r="C24" s="29"/>
      <c r="D24" s="16"/>
      <c r="E24" s="29"/>
      <c r="F24" s="29"/>
      <c r="G24" s="29"/>
    </row>
    <row r="25" customFormat="false" ht="15" hidden="false" customHeight="false" outlineLevel="0" collapsed="false">
      <c r="A25" s="28"/>
      <c r="B25" s="29"/>
      <c r="C25" s="29"/>
      <c r="D25" s="16"/>
      <c r="E25" s="29"/>
      <c r="F25" s="29"/>
      <c r="G25" s="29"/>
    </row>
    <row r="26" customFormat="false" ht="15" hidden="false" customHeight="false" outlineLevel="0" collapsed="false">
      <c r="A26" s="28"/>
      <c r="B26" s="29"/>
      <c r="C26" s="29"/>
      <c r="D26" s="16"/>
      <c r="E26" s="29"/>
      <c r="F26" s="29"/>
      <c r="G26" s="29"/>
    </row>
    <row r="27" customFormat="false" ht="15" hidden="false" customHeight="false" outlineLevel="0" collapsed="false">
      <c r="A27" s="28"/>
      <c r="B27" s="29"/>
      <c r="C27" s="29"/>
      <c r="D27" s="16"/>
      <c r="E27" s="29"/>
      <c r="F27" s="29"/>
      <c r="G27" s="29"/>
    </row>
    <row r="28" customFormat="false" ht="15" hidden="false" customHeight="false" outlineLevel="0" collapsed="false">
      <c r="A28" s="28"/>
      <c r="B28" s="29"/>
      <c r="C28" s="29"/>
      <c r="D28" s="16"/>
      <c r="E28" s="29"/>
      <c r="F28" s="29"/>
      <c r="G28" s="29"/>
    </row>
    <row r="29" customFormat="false" ht="15" hidden="false" customHeight="false" outlineLevel="0" collapsed="false">
      <c r="A29" s="28"/>
      <c r="B29" s="29"/>
      <c r="C29" s="29"/>
      <c r="D29" s="16"/>
      <c r="E29" s="29"/>
      <c r="F29" s="29"/>
      <c r="G29" s="29"/>
    </row>
    <row r="30" customFormat="false" ht="15" hidden="false" customHeight="false" outlineLevel="0" collapsed="false">
      <c r="A30" s="28"/>
      <c r="B30" s="29"/>
      <c r="C30" s="29"/>
      <c r="D30" s="16"/>
      <c r="E30" s="29"/>
      <c r="F30" s="29"/>
      <c r="G30" s="29"/>
    </row>
    <row r="31" customFormat="false" ht="15" hidden="false" customHeight="false" outlineLevel="0" collapsed="false">
      <c r="A31" s="28"/>
      <c r="B31" s="29"/>
      <c r="C31" s="29"/>
      <c r="D31" s="16"/>
      <c r="E31" s="29"/>
      <c r="F31" s="29"/>
      <c r="G31" s="29"/>
    </row>
    <row r="32" customFormat="false" ht="15" hidden="false" customHeight="false" outlineLevel="0" collapsed="false">
      <c r="A32" s="28"/>
      <c r="B32" s="29"/>
      <c r="C32" s="29"/>
      <c r="D32" s="16"/>
      <c r="E32" s="29"/>
      <c r="F32" s="29"/>
      <c r="G32" s="29"/>
    </row>
    <row r="33" customFormat="false" ht="15" hidden="false" customHeight="false" outlineLevel="0" collapsed="false">
      <c r="A33" s="28"/>
      <c r="B33" s="29"/>
      <c r="C33" s="29"/>
      <c r="D33" s="16"/>
      <c r="E33" s="29"/>
      <c r="F33" s="29"/>
      <c r="G33" s="29"/>
    </row>
    <row r="34" customFormat="false" ht="15" hidden="false" customHeight="false" outlineLevel="0" collapsed="false">
      <c r="A34" s="28"/>
      <c r="B34" s="29"/>
      <c r="C34" s="29"/>
      <c r="D34" s="16"/>
      <c r="E34" s="29"/>
      <c r="F34" s="29"/>
      <c r="G34" s="29"/>
    </row>
    <row r="35" customFormat="false" ht="15" hidden="false" customHeight="false" outlineLevel="0" collapsed="false">
      <c r="A35" s="28"/>
      <c r="B35" s="29"/>
      <c r="C35" s="29"/>
      <c r="D35" s="16"/>
      <c r="E35" s="29"/>
      <c r="F35" s="29"/>
      <c r="G35" s="29"/>
    </row>
    <row r="36" customFormat="false" ht="15" hidden="false" customHeight="false" outlineLevel="0" collapsed="false">
      <c r="A36" s="28"/>
      <c r="B36" s="29"/>
      <c r="C36" s="29"/>
      <c r="D36" s="16"/>
      <c r="E36" s="29"/>
      <c r="F36" s="29"/>
      <c r="G36" s="29"/>
    </row>
    <row r="37" customFormat="false" ht="15" hidden="false" customHeight="false" outlineLevel="0" collapsed="false">
      <c r="A37" s="28"/>
      <c r="B37" s="29"/>
      <c r="C37" s="29"/>
      <c r="D37" s="16"/>
      <c r="E37" s="29"/>
      <c r="F37" s="29"/>
      <c r="G37" s="29"/>
    </row>
    <row r="38" customFormat="false" ht="15" hidden="false" customHeight="false" outlineLevel="0" collapsed="false">
      <c r="A38" s="28"/>
      <c r="B38" s="29"/>
      <c r="C38" s="29"/>
      <c r="D38" s="16"/>
      <c r="E38" s="29"/>
      <c r="F38" s="29"/>
      <c r="G38" s="29"/>
    </row>
    <row r="39" customFormat="false" ht="15" hidden="false" customHeight="false" outlineLevel="0" collapsed="false">
      <c r="A39" s="28"/>
      <c r="B39" s="29"/>
      <c r="C39" s="29"/>
      <c r="D39" s="16"/>
      <c r="E39" s="29"/>
      <c r="F39" s="29"/>
      <c r="G39" s="29"/>
    </row>
    <row r="40" customFormat="false" ht="15" hidden="false" customHeight="false" outlineLevel="0" collapsed="false">
      <c r="A40" s="28"/>
      <c r="B40" s="29"/>
      <c r="C40" s="29"/>
      <c r="D40" s="16"/>
      <c r="E40" s="29"/>
      <c r="F40" s="29"/>
      <c r="G40" s="29"/>
    </row>
    <row r="41" customFormat="false" ht="15" hidden="false" customHeight="false" outlineLevel="0" collapsed="false">
      <c r="A41" s="28"/>
      <c r="B41" s="29"/>
      <c r="C41" s="29"/>
      <c r="D41" s="16"/>
      <c r="E41" s="29"/>
      <c r="F41" s="29"/>
      <c r="G41" s="29"/>
    </row>
    <row r="42" customFormat="false" ht="15" hidden="false" customHeight="false" outlineLevel="0" collapsed="false">
      <c r="A42" s="28"/>
      <c r="B42" s="29"/>
      <c r="C42" s="29"/>
      <c r="D42" s="16"/>
      <c r="E42" s="29"/>
      <c r="F42" s="29"/>
      <c r="G42" s="29"/>
    </row>
    <row r="43" customFormat="false" ht="15" hidden="false" customHeight="false" outlineLevel="0" collapsed="false">
      <c r="A43" s="28"/>
      <c r="B43" s="29"/>
      <c r="C43" s="29"/>
      <c r="D43" s="16"/>
      <c r="E43" s="29"/>
      <c r="F43" s="29"/>
      <c r="G43" s="29"/>
    </row>
    <row r="44" customFormat="false" ht="15" hidden="false" customHeight="false" outlineLevel="0" collapsed="false">
      <c r="A44" s="28"/>
      <c r="B44" s="29"/>
      <c r="C44" s="29"/>
      <c r="D44" s="16"/>
      <c r="E44" s="29"/>
      <c r="F44" s="29"/>
      <c r="G44" s="29"/>
    </row>
    <row r="45" customFormat="false" ht="15" hidden="false" customHeight="false" outlineLevel="0" collapsed="false">
      <c r="A45" s="28"/>
      <c r="B45" s="29"/>
      <c r="C45" s="29"/>
      <c r="D45" s="16"/>
      <c r="E45" s="29"/>
      <c r="F45" s="29"/>
      <c r="G45" s="29"/>
    </row>
    <row r="46" customFormat="false" ht="15" hidden="false" customHeight="false" outlineLevel="0" collapsed="false">
      <c r="A46" s="28"/>
      <c r="B46" s="29"/>
      <c r="C46" s="29"/>
      <c r="D46" s="16"/>
      <c r="E46" s="29"/>
      <c r="F46" s="29"/>
      <c r="G46" s="29"/>
    </row>
    <row r="47" customFormat="false" ht="15" hidden="false" customHeight="false" outlineLevel="0" collapsed="false">
      <c r="A47" s="28"/>
      <c r="B47" s="29"/>
      <c r="C47" s="29"/>
      <c r="D47" s="16"/>
      <c r="E47" s="29"/>
      <c r="F47" s="29"/>
      <c r="G47" s="29"/>
    </row>
    <row r="48" customFormat="false" ht="15" hidden="false" customHeight="false" outlineLevel="0" collapsed="false">
      <c r="A48" s="28"/>
      <c r="B48" s="29"/>
      <c r="C48" s="29"/>
      <c r="D48" s="16"/>
      <c r="E48" s="29"/>
      <c r="F48" s="29"/>
      <c r="G48" s="29"/>
    </row>
    <row r="49" customFormat="false" ht="15" hidden="false" customHeight="false" outlineLevel="0" collapsed="false">
      <c r="A49" s="28"/>
      <c r="B49" s="29"/>
      <c r="C49" s="29"/>
      <c r="D49" s="16"/>
      <c r="E49" s="29"/>
      <c r="F49" s="29"/>
      <c r="G49" s="29"/>
    </row>
    <row r="50" customFormat="false" ht="15" hidden="false" customHeight="false" outlineLevel="0" collapsed="false">
      <c r="A50" s="28"/>
      <c r="B50" s="29"/>
      <c r="C50" s="29"/>
      <c r="D50" s="16"/>
      <c r="E50" s="29"/>
      <c r="F50" s="29"/>
      <c r="G50" s="29"/>
    </row>
    <row r="51" customFormat="false" ht="15" hidden="false" customHeight="false" outlineLevel="0" collapsed="false">
      <c r="A51" s="28"/>
      <c r="B51" s="29"/>
      <c r="C51" s="29"/>
      <c r="D51" s="16"/>
      <c r="E51" s="29"/>
      <c r="F51" s="29"/>
      <c r="G51" s="29"/>
    </row>
    <row r="52" customFormat="false" ht="15" hidden="false" customHeight="false" outlineLevel="0" collapsed="false">
      <c r="A52" s="28"/>
      <c r="B52" s="29"/>
      <c r="C52" s="29"/>
      <c r="D52" s="16"/>
      <c r="E52" s="29"/>
      <c r="F52" s="29"/>
      <c r="G52" s="29"/>
    </row>
    <row r="53" customFormat="false" ht="15" hidden="false" customHeight="false" outlineLevel="0" collapsed="false">
      <c r="A53" s="28"/>
      <c r="B53" s="29"/>
      <c r="C53" s="29"/>
      <c r="D53" s="16"/>
      <c r="E53" s="29"/>
      <c r="F53" s="29"/>
      <c r="G53" s="29"/>
    </row>
    <row r="54" customFormat="false" ht="15" hidden="false" customHeight="false" outlineLevel="0" collapsed="false">
      <c r="A54" s="28"/>
      <c r="B54" s="29"/>
      <c r="C54" s="29"/>
      <c r="D54" s="16"/>
      <c r="E54" s="29"/>
      <c r="F54" s="29"/>
      <c r="G54" s="29"/>
    </row>
    <row r="55" customFormat="false" ht="15" hidden="false" customHeight="false" outlineLevel="0" collapsed="false">
      <c r="A55" s="28"/>
      <c r="B55" s="29"/>
      <c r="C55" s="29"/>
      <c r="D55" s="16"/>
      <c r="E55" s="29"/>
      <c r="F55" s="29"/>
      <c r="G55" s="29"/>
    </row>
    <row r="56" customFormat="false" ht="15" hidden="false" customHeight="false" outlineLevel="0" collapsed="false">
      <c r="A56" s="28"/>
      <c r="B56" s="29"/>
      <c r="C56" s="29"/>
      <c r="D56" s="16"/>
      <c r="E56" s="29"/>
      <c r="F56" s="29"/>
      <c r="G56" s="29"/>
    </row>
    <row r="57" customFormat="false" ht="15" hidden="false" customHeight="false" outlineLevel="0" collapsed="false">
      <c r="A57" s="28"/>
      <c r="B57" s="29"/>
      <c r="C57" s="29"/>
      <c r="D57" s="16"/>
      <c r="E57" s="29"/>
      <c r="F57" s="29"/>
      <c r="G57" s="29"/>
    </row>
    <row r="58" customFormat="false" ht="15" hidden="false" customHeight="false" outlineLevel="0" collapsed="false">
      <c r="A58" s="28"/>
      <c r="B58" s="29"/>
      <c r="C58" s="29"/>
      <c r="D58" s="16"/>
      <c r="E58" s="29"/>
      <c r="F58" s="29"/>
      <c r="G58" s="29"/>
    </row>
    <row r="59" customFormat="false" ht="15" hidden="false" customHeight="false" outlineLevel="0" collapsed="false">
      <c r="A59" s="28"/>
      <c r="B59" s="29"/>
      <c r="C59" s="29"/>
      <c r="D59" s="16"/>
      <c r="E59" s="29"/>
      <c r="F59" s="29"/>
      <c r="G59" s="29"/>
    </row>
  </sheetData>
  <mergeCells count="3">
    <mergeCell ref="A1:G1"/>
    <mergeCell ref="I4:K4"/>
    <mergeCell ref="I7:K7"/>
  </mergeCells>
  <dataValidations count="2">
    <dataValidation allowBlank="true" errorStyle="stop" operator="between" showDropDown="false" showErrorMessage="false" showInputMessage="false" sqref="F5:F500" type="list">
      <formula1>"Received,Pledged,Refunded"</formula1>
      <formula2>0</formula2>
    </dataValidation>
    <dataValidation allowBlank="true" errorStyle="stop" operator="between" showDropDown="false" showErrorMessage="false" showInputMessage="false" sqref="E5:E500" type="list">
      <formula1>"Individual,In-kind,Candidate Self,Other"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24" t="s">
        <v>65</v>
      </c>
      <c r="B1" s="24"/>
      <c r="C1" s="24"/>
      <c r="D1" s="24"/>
      <c r="E1" s="24"/>
      <c r="F1" s="24"/>
    </row>
    <row r="2" customFormat="false" ht="15" hidden="false" customHeight="false" outlineLevel="0" collapsed="false">
      <c r="A2" s="33" t="s">
        <v>66</v>
      </c>
      <c r="B2" s="33"/>
      <c r="C2" s="33"/>
      <c r="D2" s="33"/>
      <c r="E2" s="33"/>
      <c r="F2" s="33"/>
    </row>
    <row r="4" customFormat="false" ht="24" hidden="false" customHeight="true" outlineLevel="0" collapsed="false">
      <c r="A4" s="14" t="s">
        <v>67</v>
      </c>
      <c r="B4" s="14" t="s">
        <v>68</v>
      </c>
      <c r="C4" s="14" t="s">
        <v>69</v>
      </c>
      <c r="D4" s="14" t="s">
        <v>70</v>
      </c>
      <c r="E4" s="14" t="s">
        <v>53</v>
      </c>
      <c r="F4" s="14" t="s">
        <v>71</v>
      </c>
    </row>
    <row r="5" customFormat="false" ht="15" hidden="false" customHeight="false" outlineLevel="0" collapsed="false">
      <c r="A5" s="15" t="s">
        <v>72</v>
      </c>
      <c r="B5" s="15" t="s">
        <v>73</v>
      </c>
      <c r="C5" s="15" t="s">
        <v>74</v>
      </c>
      <c r="D5" s="16" t="n">
        <v>10</v>
      </c>
      <c r="E5" s="15" t="s">
        <v>75</v>
      </c>
      <c r="F5" s="15"/>
    </row>
    <row r="6" customFormat="false" ht="15" hidden="false" customHeight="false" outlineLevel="0" collapsed="false">
      <c r="A6" s="15" t="s">
        <v>76</v>
      </c>
      <c r="B6" s="15" t="s">
        <v>73</v>
      </c>
      <c r="C6" s="15" t="s">
        <v>77</v>
      </c>
      <c r="D6" s="16" t="n">
        <v>1.5</v>
      </c>
      <c r="E6" s="15" t="s">
        <v>78</v>
      </c>
      <c r="F6" s="15"/>
    </row>
    <row r="7" customFormat="false" ht="15" hidden="false" customHeight="false" outlineLevel="0" collapsed="false">
      <c r="A7" s="15" t="s">
        <v>79</v>
      </c>
      <c r="B7" s="15" t="s">
        <v>73</v>
      </c>
      <c r="C7" s="15" t="s">
        <v>74</v>
      </c>
      <c r="D7" s="16" t="n">
        <v>120</v>
      </c>
      <c r="E7" s="15" t="s">
        <v>80</v>
      </c>
      <c r="F7" s="15"/>
    </row>
    <row r="8" customFormat="false" ht="15" hidden="false" customHeight="false" outlineLevel="0" collapsed="false">
      <c r="A8" s="15" t="s">
        <v>81</v>
      </c>
      <c r="B8" s="15" t="s">
        <v>73</v>
      </c>
      <c r="C8" s="15" t="s">
        <v>82</v>
      </c>
      <c r="D8" s="16" t="n">
        <v>0.4</v>
      </c>
      <c r="E8" s="15" t="s">
        <v>83</v>
      </c>
      <c r="F8" s="15"/>
    </row>
    <row r="9" customFormat="false" ht="15" hidden="false" customHeight="false" outlineLevel="0" collapsed="false">
      <c r="A9" s="15" t="s">
        <v>84</v>
      </c>
      <c r="B9" s="15" t="s">
        <v>85</v>
      </c>
      <c r="C9" s="15" t="s">
        <v>82</v>
      </c>
      <c r="D9" s="16" t="n">
        <v>0.5</v>
      </c>
      <c r="E9" s="15" t="s">
        <v>86</v>
      </c>
      <c r="F9" s="15"/>
    </row>
    <row r="10" customFormat="false" ht="15" hidden="false" customHeight="false" outlineLevel="0" collapsed="false">
      <c r="A10" s="15" t="s">
        <v>87</v>
      </c>
      <c r="B10" s="15" t="s">
        <v>88</v>
      </c>
      <c r="C10" s="15" t="s">
        <v>74</v>
      </c>
      <c r="D10" s="16" t="n">
        <v>0</v>
      </c>
      <c r="E10" s="15" t="s">
        <v>89</v>
      </c>
      <c r="F10" s="15"/>
    </row>
    <row r="11" customFormat="false" ht="15" hidden="false" customHeight="false" outlineLevel="0" collapsed="false">
      <c r="A11" s="15" t="s">
        <v>90</v>
      </c>
      <c r="B11" s="15" t="s">
        <v>91</v>
      </c>
      <c r="C11" s="15" t="s">
        <v>92</v>
      </c>
      <c r="D11" s="16" t="n">
        <v>1</v>
      </c>
      <c r="E11" s="15" t="s">
        <v>93</v>
      </c>
      <c r="F11" s="15"/>
    </row>
    <row r="12" customFormat="false" ht="15" hidden="false" customHeight="false" outlineLevel="0" collapsed="false">
      <c r="A12" s="15" t="s">
        <v>94</v>
      </c>
      <c r="B12" s="15" t="s">
        <v>95</v>
      </c>
      <c r="C12" s="15" t="s">
        <v>92</v>
      </c>
      <c r="D12" s="16" t="n">
        <v>1</v>
      </c>
      <c r="E12" s="15" t="s">
        <v>96</v>
      </c>
      <c r="F12" s="15"/>
    </row>
    <row r="13" customFormat="false" ht="15" hidden="false" customHeight="false" outlineLevel="0" collapsed="false">
      <c r="A13" s="15" t="s">
        <v>97</v>
      </c>
      <c r="B13" s="15" t="s">
        <v>98</v>
      </c>
      <c r="C13" s="15" t="s">
        <v>99</v>
      </c>
      <c r="D13" s="16" t="n">
        <v>600</v>
      </c>
      <c r="E13" s="15" t="s">
        <v>100</v>
      </c>
      <c r="F13" s="15"/>
    </row>
    <row r="14" customFormat="false" ht="15" hidden="false" customHeight="false" outlineLevel="0" collapsed="false">
      <c r="A14" s="15" t="s">
        <v>101</v>
      </c>
      <c r="B14" s="15" t="s">
        <v>73</v>
      </c>
      <c r="C14" s="15" t="s">
        <v>102</v>
      </c>
      <c r="D14" s="16" t="n">
        <v>400</v>
      </c>
      <c r="E14" s="15" t="s">
        <v>103</v>
      </c>
      <c r="F14" s="15"/>
    </row>
    <row r="15" customFormat="false" ht="15" hidden="false" customHeight="false" outlineLevel="0" collapsed="false">
      <c r="A15" s="15" t="s">
        <v>104</v>
      </c>
      <c r="B15" s="15" t="s">
        <v>105</v>
      </c>
      <c r="C15" s="15" t="s">
        <v>106</v>
      </c>
      <c r="D15" s="16" t="n">
        <v>0</v>
      </c>
      <c r="E15" s="15" t="s">
        <v>107</v>
      </c>
      <c r="F15" s="15"/>
    </row>
    <row r="16" customFormat="false" ht="15" hidden="false" customHeight="false" outlineLevel="0" collapsed="false">
      <c r="A16" s="15" t="s">
        <v>108</v>
      </c>
      <c r="B16" s="15" t="s">
        <v>109</v>
      </c>
      <c r="C16" s="15" t="s">
        <v>110</v>
      </c>
      <c r="D16" s="16" t="n">
        <v>200</v>
      </c>
      <c r="E16" s="15" t="s">
        <v>111</v>
      </c>
      <c r="F16" s="15"/>
    </row>
    <row r="17" customFormat="false" ht="15" hidden="false" customHeight="false" outlineLevel="0" collapsed="false">
      <c r="A17" s="15" t="s">
        <v>112</v>
      </c>
      <c r="B17" s="15" t="s">
        <v>113</v>
      </c>
      <c r="C17" s="15" t="s">
        <v>114</v>
      </c>
      <c r="D17" s="16" t="n">
        <v>30</v>
      </c>
      <c r="E17" s="15" t="s">
        <v>115</v>
      </c>
      <c r="F17" s="15"/>
    </row>
    <row r="18" customFormat="false" ht="15" hidden="false" customHeight="false" outlineLevel="0" collapsed="false">
      <c r="A18" s="15" t="s">
        <v>116</v>
      </c>
      <c r="B18" s="15" t="s">
        <v>73</v>
      </c>
      <c r="C18" s="15" t="s">
        <v>117</v>
      </c>
      <c r="D18" s="16" t="n">
        <v>1.5</v>
      </c>
      <c r="E18" s="15" t="s">
        <v>118</v>
      </c>
      <c r="F18" s="15"/>
    </row>
    <row r="19" customFormat="false" ht="15" hidden="false" customHeight="false" outlineLevel="0" collapsed="false">
      <c r="A19" s="15" t="s">
        <v>119</v>
      </c>
      <c r="B19" s="15" t="s">
        <v>73</v>
      </c>
      <c r="C19" s="15" t="s">
        <v>120</v>
      </c>
      <c r="D19" s="16" t="n">
        <v>18</v>
      </c>
      <c r="E19" s="15" t="s">
        <v>118</v>
      </c>
      <c r="F19" s="15"/>
    </row>
    <row r="20" customFormat="false" ht="15" hidden="false" customHeight="false" outlineLevel="0" collapsed="false">
      <c r="A20" s="15" t="s">
        <v>121</v>
      </c>
      <c r="B20" s="15" t="s">
        <v>73</v>
      </c>
      <c r="C20" s="15" t="s">
        <v>122</v>
      </c>
      <c r="D20" s="16" t="n">
        <v>300</v>
      </c>
      <c r="E20" s="15" t="s">
        <v>123</v>
      </c>
      <c r="F20" s="15"/>
    </row>
    <row r="21" customFormat="false" ht="15" hidden="false" customHeight="false" outlineLevel="0" collapsed="false">
      <c r="A21" s="15" t="s">
        <v>124</v>
      </c>
      <c r="B21" s="15" t="s">
        <v>73</v>
      </c>
      <c r="C21" s="15" t="s">
        <v>122</v>
      </c>
      <c r="D21" s="16" t="n">
        <v>400</v>
      </c>
      <c r="E21" s="15" t="s">
        <v>125</v>
      </c>
      <c r="F21" s="15"/>
    </row>
    <row r="22" customFormat="false" ht="15" hidden="false" customHeight="false" outlineLevel="0" collapsed="false">
      <c r="A22" s="15" t="s">
        <v>126</v>
      </c>
      <c r="B22" s="15" t="s">
        <v>73</v>
      </c>
      <c r="C22" s="15" t="s">
        <v>106</v>
      </c>
      <c r="D22" s="16" t="n">
        <v>5000</v>
      </c>
      <c r="E22" s="15" t="s">
        <v>127</v>
      </c>
      <c r="F22" s="15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24" t="s">
        <v>128</v>
      </c>
      <c r="B1" s="24"/>
      <c r="C1" s="24"/>
      <c r="D1" s="24"/>
      <c r="E1" s="24"/>
      <c r="F1" s="24"/>
      <c r="G1" s="24"/>
      <c r="H1" s="24"/>
    </row>
    <row r="2" customFormat="false" ht="17.35" hidden="false" customHeight="false" outlineLevel="0" collapsed="false">
      <c r="G2" s="25" t="s">
        <v>129</v>
      </c>
      <c r="H2" s="34" t="n">
        <f aca="false">SUMIF(G:G,"Committed",F:F)+SUMIF(G:G,"Planned",F:F)+SUMIF(G:G,"Paid",F:F)</f>
        <v>0</v>
      </c>
    </row>
    <row r="4" customFormat="false" ht="24" hidden="false" customHeight="true" outlineLevel="0" collapsed="false">
      <c r="A4" s="14" t="s">
        <v>47</v>
      </c>
      <c r="B4" s="14" t="s">
        <v>19</v>
      </c>
      <c r="C4" s="14" t="s">
        <v>130</v>
      </c>
      <c r="D4" s="14" t="s">
        <v>68</v>
      </c>
      <c r="E4" s="14" t="s">
        <v>131</v>
      </c>
      <c r="F4" s="14" t="s">
        <v>132</v>
      </c>
      <c r="G4" s="14" t="s">
        <v>52</v>
      </c>
      <c r="H4" s="14" t="s">
        <v>53</v>
      </c>
    </row>
    <row r="5" customFormat="false" ht="15" hidden="false" customHeight="false" outlineLevel="0" collapsed="false">
      <c r="A5" s="28" t="n">
        <v>46140</v>
      </c>
      <c r="B5" s="29" t="s">
        <v>29</v>
      </c>
      <c r="C5" s="29" t="s">
        <v>133</v>
      </c>
      <c r="D5" s="29" t="s">
        <v>105</v>
      </c>
      <c r="E5" s="29" t="n">
        <v>1</v>
      </c>
      <c r="F5" s="16" t="n">
        <v>0</v>
      </c>
      <c r="G5" s="29" t="s">
        <v>134</v>
      </c>
      <c r="H5" s="29" t="s">
        <v>135</v>
      </c>
    </row>
    <row r="6" customFormat="false" ht="15" hidden="false" customHeight="false" outlineLevel="0" collapsed="false">
      <c r="A6" s="28" t="n">
        <v>46128</v>
      </c>
      <c r="B6" s="29" t="s">
        <v>31</v>
      </c>
      <c r="C6" s="29" t="s">
        <v>136</v>
      </c>
      <c r="D6" s="29" t="s">
        <v>73</v>
      </c>
      <c r="E6" s="29" t="n">
        <v>1</v>
      </c>
      <c r="F6" s="16" t="n">
        <v>0</v>
      </c>
      <c r="G6" s="29" t="s">
        <v>22</v>
      </c>
      <c r="H6" s="29" t="s">
        <v>137</v>
      </c>
    </row>
    <row r="7" customFormat="false" ht="15" hidden="false" customHeight="false" outlineLevel="0" collapsed="false">
      <c r="A7" s="28"/>
      <c r="B7" s="29"/>
      <c r="C7" s="29"/>
      <c r="D7" s="29"/>
      <c r="E7" s="35"/>
      <c r="F7" s="16"/>
      <c r="G7" s="29"/>
      <c r="H7" s="29"/>
    </row>
    <row r="8" customFormat="false" ht="15" hidden="false" customHeight="false" outlineLevel="0" collapsed="false">
      <c r="A8" s="28"/>
      <c r="B8" s="29"/>
      <c r="C8" s="29"/>
      <c r="D8" s="29"/>
      <c r="E8" s="35"/>
      <c r="F8" s="16"/>
      <c r="G8" s="29"/>
      <c r="H8" s="29"/>
    </row>
    <row r="9" customFormat="false" ht="15" hidden="false" customHeight="false" outlineLevel="0" collapsed="false">
      <c r="A9" s="28"/>
      <c r="B9" s="29"/>
      <c r="C9" s="29"/>
      <c r="D9" s="29"/>
      <c r="E9" s="35"/>
      <c r="F9" s="16"/>
      <c r="G9" s="29"/>
      <c r="H9" s="29"/>
    </row>
    <row r="10" customFormat="false" ht="15" hidden="false" customHeight="false" outlineLevel="0" collapsed="false">
      <c r="A10" s="28"/>
      <c r="B10" s="29"/>
      <c r="C10" s="29"/>
      <c r="D10" s="29"/>
      <c r="E10" s="35"/>
      <c r="F10" s="16"/>
      <c r="G10" s="29"/>
      <c r="H10" s="29"/>
    </row>
    <row r="11" customFormat="false" ht="15" hidden="false" customHeight="false" outlineLevel="0" collapsed="false">
      <c r="A11" s="28"/>
      <c r="B11" s="29"/>
      <c r="C11" s="29"/>
      <c r="D11" s="29"/>
      <c r="E11" s="35"/>
      <c r="F11" s="16"/>
      <c r="G11" s="29"/>
      <c r="H11" s="29"/>
    </row>
    <row r="12" customFormat="false" ht="15" hidden="false" customHeight="false" outlineLevel="0" collapsed="false">
      <c r="A12" s="28"/>
      <c r="B12" s="29"/>
      <c r="C12" s="29"/>
      <c r="D12" s="29"/>
      <c r="E12" s="35"/>
      <c r="F12" s="16"/>
      <c r="G12" s="29"/>
      <c r="H12" s="29"/>
    </row>
    <row r="13" customFormat="false" ht="15" hidden="false" customHeight="false" outlineLevel="0" collapsed="false">
      <c r="A13" s="28"/>
      <c r="B13" s="29"/>
      <c r="C13" s="29"/>
      <c r="D13" s="29"/>
      <c r="E13" s="35"/>
      <c r="F13" s="16"/>
      <c r="G13" s="29"/>
      <c r="H13" s="29"/>
    </row>
    <row r="14" customFormat="false" ht="15" hidden="false" customHeight="false" outlineLevel="0" collapsed="false">
      <c r="A14" s="28"/>
      <c r="B14" s="29"/>
      <c r="C14" s="29"/>
      <c r="D14" s="29"/>
      <c r="E14" s="35"/>
      <c r="F14" s="16"/>
      <c r="G14" s="29"/>
      <c r="H14" s="29"/>
    </row>
    <row r="15" customFormat="false" ht="15" hidden="false" customHeight="false" outlineLevel="0" collapsed="false">
      <c r="A15" s="28"/>
      <c r="B15" s="29"/>
      <c r="C15" s="29"/>
      <c r="D15" s="29"/>
      <c r="E15" s="35"/>
      <c r="F15" s="16"/>
      <c r="G15" s="29"/>
      <c r="H15" s="29"/>
    </row>
    <row r="16" customFormat="false" ht="15" hidden="false" customHeight="false" outlineLevel="0" collapsed="false">
      <c r="A16" s="28"/>
      <c r="B16" s="29"/>
      <c r="C16" s="29"/>
      <c r="D16" s="29"/>
      <c r="E16" s="35"/>
      <c r="F16" s="16"/>
      <c r="G16" s="29"/>
      <c r="H16" s="29"/>
    </row>
    <row r="17" customFormat="false" ht="15" hidden="false" customHeight="false" outlineLevel="0" collapsed="false">
      <c r="A17" s="28"/>
      <c r="B17" s="29"/>
      <c r="C17" s="29"/>
      <c r="D17" s="29"/>
      <c r="E17" s="35"/>
      <c r="F17" s="16"/>
      <c r="G17" s="29"/>
      <c r="H17" s="29"/>
    </row>
    <row r="18" customFormat="false" ht="15" hidden="false" customHeight="false" outlineLevel="0" collapsed="false">
      <c r="A18" s="28"/>
      <c r="B18" s="29"/>
      <c r="C18" s="29"/>
      <c r="D18" s="29"/>
      <c r="E18" s="35"/>
      <c r="F18" s="16"/>
      <c r="G18" s="29"/>
      <c r="H18" s="29"/>
    </row>
    <row r="19" customFormat="false" ht="15" hidden="false" customHeight="false" outlineLevel="0" collapsed="false">
      <c r="A19" s="28"/>
      <c r="B19" s="29"/>
      <c r="C19" s="29"/>
      <c r="D19" s="29"/>
      <c r="E19" s="35"/>
      <c r="F19" s="16"/>
      <c r="G19" s="29"/>
      <c r="H19" s="29"/>
    </row>
    <row r="20" customFormat="false" ht="15" hidden="false" customHeight="false" outlineLevel="0" collapsed="false">
      <c r="A20" s="28"/>
      <c r="B20" s="29"/>
      <c r="C20" s="29"/>
      <c r="D20" s="29"/>
      <c r="E20" s="35"/>
      <c r="F20" s="16"/>
      <c r="G20" s="29"/>
      <c r="H20" s="29"/>
    </row>
    <row r="21" customFormat="false" ht="15" hidden="false" customHeight="false" outlineLevel="0" collapsed="false">
      <c r="A21" s="28"/>
      <c r="B21" s="29"/>
      <c r="C21" s="29"/>
      <c r="D21" s="29"/>
      <c r="E21" s="35"/>
      <c r="F21" s="16"/>
      <c r="G21" s="29"/>
      <c r="H21" s="29"/>
    </row>
    <row r="22" customFormat="false" ht="15" hidden="false" customHeight="false" outlineLevel="0" collapsed="false">
      <c r="A22" s="28"/>
      <c r="B22" s="29"/>
      <c r="C22" s="29"/>
      <c r="D22" s="29"/>
      <c r="E22" s="35"/>
      <c r="F22" s="16"/>
      <c r="G22" s="29"/>
      <c r="H22" s="29"/>
    </row>
    <row r="23" customFormat="false" ht="15" hidden="false" customHeight="false" outlineLevel="0" collapsed="false">
      <c r="A23" s="28"/>
      <c r="B23" s="29"/>
      <c r="C23" s="29"/>
      <c r="D23" s="29"/>
      <c r="E23" s="35"/>
      <c r="F23" s="16"/>
      <c r="G23" s="29"/>
      <c r="H23" s="29"/>
    </row>
    <row r="24" customFormat="false" ht="15" hidden="false" customHeight="false" outlineLevel="0" collapsed="false">
      <c r="A24" s="28"/>
      <c r="B24" s="29"/>
      <c r="C24" s="29"/>
      <c r="D24" s="29"/>
      <c r="E24" s="35"/>
      <c r="F24" s="16"/>
      <c r="G24" s="29"/>
      <c r="H24" s="29"/>
    </row>
    <row r="25" customFormat="false" ht="15" hidden="false" customHeight="false" outlineLevel="0" collapsed="false">
      <c r="A25" s="28"/>
      <c r="B25" s="29"/>
      <c r="C25" s="29"/>
      <c r="D25" s="29"/>
      <c r="E25" s="35"/>
      <c r="F25" s="16"/>
      <c r="G25" s="29"/>
      <c r="H25" s="29"/>
    </row>
    <row r="26" customFormat="false" ht="15" hidden="false" customHeight="false" outlineLevel="0" collapsed="false">
      <c r="A26" s="28"/>
      <c r="B26" s="29"/>
      <c r="C26" s="29"/>
      <c r="D26" s="29"/>
      <c r="E26" s="35"/>
      <c r="F26" s="16"/>
      <c r="G26" s="29"/>
      <c r="H26" s="29"/>
    </row>
    <row r="27" customFormat="false" ht="15" hidden="false" customHeight="false" outlineLevel="0" collapsed="false">
      <c r="A27" s="28"/>
      <c r="B27" s="29"/>
      <c r="C27" s="29"/>
      <c r="D27" s="29"/>
      <c r="E27" s="35"/>
      <c r="F27" s="16"/>
      <c r="G27" s="29"/>
      <c r="H27" s="29"/>
    </row>
    <row r="28" customFormat="false" ht="15" hidden="false" customHeight="false" outlineLevel="0" collapsed="false">
      <c r="A28" s="28"/>
      <c r="B28" s="29"/>
      <c r="C28" s="29"/>
      <c r="D28" s="29"/>
      <c r="E28" s="35"/>
      <c r="F28" s="16"/>
      <c r="G28" s="29"/>
      <c r="H28" s="29"/>
    </row>
    <row r="29" customFormat="false" ht="15" hidden="false" customHeight="false" outlineLevel="0" collapsed="false">
      <c r="A29" s="28"/>
      <c r="B29" s="29"/>
      <c r="C29" s="29"/>
      <c r="D29" s="29"/>
      <c r="E29" s="35"/>
      <c r="F29" s="16"/>
      <c r="G29" s="29"/>
      <c r="H29" s="29"/>
    </row>
    <row r="30" customFormat="false" ht="15" hidden="false" customHeight="false" outlineLevel="0" collapsed="false">
      <c r="A30" s="28"/>
      <c r="B30" s="29"/>
      <c r="C30" s="29"/>
      <c r="D30" s="29"/>
      <c r="E30" s="35"/>
      <c r="F30" s="16"/>
      <c r="G30" s="29"/>
      <c r="H30" s="29"/>
    </row>
    <row r="31" customFormat="false" ht="15" hidden="false" customHeight="false" outlineLevel="0" collapsed="false">
      <c r="A31" s="28"/>
      <c r="B31" s="29"/>
      <c r="C31" s="29"/>
      <c r="D31" s="29"/>
      <c r="E31" s="35"/>
      <c r="F31" s="16"/>
      <c r="G31" s="29"/>
      <c r="H31" s="29"/>
    </row>
    <row r="32" customFormat="false" ht="15" hidden="false" customHeight="false" outlineLevel="0" collapsed="false">
      <c r="A32" s="28"/>
      <c r="B32" s="29"/>
      <c r="C32" s="29"/>
      <c r="D32" s="29"/>
      <c r="E32" s="35"/>
      <c r="F32" s="16"/>
      <c r="G32" s="29"/>
      <c r="H32" s="29"/>
    </row>
    <row r="33" customFormat="false" ht="15" hidden="false" customHeight="false" outlineLevel="0" collapsed="false">
      <c r="A33" s="28"/>
      <c r="B33" s="29"/>
      <c r="C33" s="29"/>
      <c r="D33" s="29"/>
      <c r="E33" s="35"/>
      <c r="F33" s="16"/>
      <c r="G33" s="29"/>
      <c r="H33" s="29"/>
    </row>
    <row r="34" customFormat="false" ht="15" hidden="false" customHeight="false" outlineLevel="0" collapsed="false">
      <c r="A34" s="28"/>
      <c r="B34" s="29"/>
      <c r="C34" s="29"/>
      <c r="D34" s="29"/>
      <c r="E34" s="35"/>
      <c r="F34" s="16"/>
      <c r="G34" s="29"/>
      <c r="H34" s="29"/>
    </row>
    <row r="35" customFormat="false" ht="15" hidden="false" customHeight="false" outlineLevel="0" collapsed="false">
      <c r="A35" s="28"/>
      <c r="B35" s="29"/>
      <c r="C35" s="29"/>
      <c r="D35" s="29"/>
      <c r="E35" s="35"/>
      <c r="F35" s="16"/>
      <c r="G35" s="29"/>
      <c r="H35" s="29"/>
    </row>
    <row r="36" customFormat="false" ht="15" hidden="false" customHeight="false" outlineLevel="0" collapsed="false">
      <c r="A36" s="28"/>
      <c r="B36" s="29"/>
      <c r="C36" s="29"/>
      <c r="D36" s="29"/>
      <c r="E36" s="35"/>
      <c r="F36" s="16"/>
      <c r="G36" s="29"/>
      <c r="H36" s="29"/>
    </row>
    <row r="37" customFormat="false" ht="15" hidden="false" customHeight="false" outlineLevel="0" collapsed="false">
      <c r="A37" s="28"/>
      <c r="B37" s="29"/>
      <c r="C37" s="29"/>
      <c r="D37" s="29"/>
      <c r="E37" s="35"/>
      <c r="F37" s="16"/>
      <c r="G37" s="29"/>
      <c r="H37" s="29"/>
    </row>
    <row r="38" customFormat="false" ht="15" hidden="false" customHeight="false" outlineLevel="0" collapsed="false">
      <c r="A38" s="28"/>
      <c r="B38" s="29"/>
      <c r="C38" s="29"/>
      <c r="D38" s="29"/>
      <c r="E38" s="35"/>
      <c r="F38" s="16"/>
      <c r="G38" s="29"/>
      <c r="H38" s="29"/>
    </row>
    <row r="39" customFormat="false" ht="15" hidden="false" customHeight="false" outlineLevel="0" collapsed="false">
      <c r="A39" s="28"/>
      <c r="B39" s="29"/>
      <c r="C39" s="29"/>
      <c r="D39" s="29"/>
      <c r="E39" s="35"/>
      <c r="F39" s="16"/>
      <c r="G39" s="29"/>
      <c r="H39" s="29"/>
    </row>
    <row r="40" customFormat="false" ht="15" hidden="false" customHeight="false" outlineLevel="0" collapsed="false">
      <c r="A40" s="28"/>
      <c r="B40" s="29"/>
      <c r="C40" s="29"/>
      <c r="D40" s="29"/>
      <c r="E40" s="35"/>
      <c r="F40" s="16"/>
      <c r="G40" s="29"/>
      <c r="H40" s="29"/>
    </row>
    <row r="41" customFormat="false" ht="15" hidden="false" customHeight="false" outlineLevel="0" collapsed="false">
      <c r="A41" s="28"/>
      <c r="B41" s="29"/>
      <c r="C41" s="29"/>
      <c r="D41" s="29"/>
      <c r="E41" s="35"/>
      <c r="F41" s="16"/>
      <c r="G41" s="29"/>
      <c r="H41" s="29"/>
    </row>
    <row r="42" customFormat="false" ht="15" hidden="false" customHeight="false" outlineLevel="0" collapsed="false">
      <c r="A42" s="28"/>
      <c r="B42" s="29"/>
      <c r="C42" s="29"/>
      <c r="D42" s="29"/>
      <c r="E42" s="35"/>
      <c r="F42" s="16"/>
      <c r="G42" s="29"/>
      <c r="H42" s="29"/>
    </row>
    <row r="43" customFormat="false" ht="15" hidden="false" customHeight="false" outlineLevel="0" collapsed="false">
      <c r="A43" s="28"/>
      <c r="B43" s="29"/>
      <c r="C43" s="29"/>
      <c r="D43" s="29"/>
      <c r="E43" s="35"/>
      <c r="F43" s="16"/>
      <c r="G43" s="29"/>
      <c r="H43" s="29"/>
    </row>
    <row r="44" customFormat="false" ht="15" hidden="false" customHeight="false" outlineLevel="0" collapsed="false">
      <c r="A44" s="28"/>
      <c r="B44" s="29"/>
      <c r="C44" s="29"/>
      <c r="D44" s="29"/>
      <c r="E44" s="35"/>
      <c r="F44" s="16"/>
      <c r="G44" s="29"/>
      <c r="H44" s="29"/>
    </row>
    <row r="45" customFormat="false" ht="15" hidden="false" customHeight="false" outlineLevel="0" collapsed="false">
      <c r="A45" s="28"/>
      <c r="B45" s="29"/>
      <c r="C45" s="29"/>
      <c r="D45" s="29"/>
      <c r="E45" s="35"/>
      <c r="F45" s="16"/>
      <c r="G45" s="29"/>
      <c r="H45" s="29"/>
    </row>
    <row r="46" customFormat="false" ht="15" hidden="false" customHeight="false" outlineLevel="0" collapsed="false">
      <c r="A46" s="28"/>
      <c r="B46" s="29"/>
      <c r="C46" s="29"/>
      <c r="D46" s="29"/>
      <c r="E46" s="35"/>
      <c r="F46" s="16"/>
      <c r="G46" s="29"/>
      <c r="H46" s="29"/>
    </row>
    <row r="47" customFormat="false" ht="15" hidden="false" customHeight="false" outlineLevel="0" collapsed="false">
      <c r="A47" s="28"/>
      <c r="B47" s="29"/>
      <c r="C47" s="29"/>
      <c r="D47" s="29"/>
      <c r="E47" s="35"/>
      <c r="F47" s="16"/>
      <c r="G47" s="29"/>
      <c r="H47" s="29"/>
    </row>
    <row r="48" customFormat="false" ht="15" hidden="false" customHeight="false" outlineLevel="0" collapsed="false">
      <c r="A48" s="28"/>
      <c r="B48" s="29"/>
      <c r="C48" s="29"/>
      <c r="D48" s="29"/>
      <c r="E48" s="35"/>
      <c r="F48" s="16"/>
      <c r="G48" s="29"/>
      <c r="H48" s="29"/>
    </row>
    <row r="49" customFormat="false" ht="15" hidden="false" customHeight="false" outlineLevel="0" collapsed="false">
      <c r="A49" s="28"/>
      <c r="B49" s="29"/>
      <c r="C49" s="29"/>
      <c r="D49" s="29"/>
      <c r="E49" s="35"/>
      <c r="F49" s="16"/>
      <c r="G49" s="29"/>
      <c r="H49" s="29"/>
    </row>
    <row r="50" customFormat="false" ht="15" hidden="false" customHeight="false" outlineLevel="0" collapsed="false">
      <c r="A50" s="28"/>
      <c r="B50" s="29"/>
      <c r="C50" s="29"/>
      <c r="D50" s="29"/>
      <c r="E50" s="35"/>
      <c r="F50" s="16"/>
      <c r="G50" s="29"/>
      <c r="H50" s="29"/>
    </row>
    <row r="51" customFormat="false" ht="15" hidden="false" customHeight="false" outlineLevel="0" collapsed="false">
      <c r="A51" s="28"/>
      <c r="B51" s="29"/>
      <c r="C51" s="29"/>
      <c r="D51" s="29"/>
      <c r="E51" s="35"/>
      <c r="F51" s="16"/>
      <c r="G51" s="29"/>
      <c r="H51" s="29"/>
    </row>
    <row r="52" customFormat="false" ht="15" hidden="false" customHeight="false" outlineLevel="0" collapsed="false">
      <c r="A52" s="28"/>
      <c r="B52" s="29"/>
      <c r="C52" s="29"/>
      <c r="D52" s="29"/>
      <c r="E52" s="35"/>
      <c r="F52" s="16"/>
      <c r="G52" s="29"/>
      <c r="H52" s="29"/>
    </row>
    <row r="53" customFormat="false" ht="15" hidden="false" customHeight="false" outlineLevel="0" collapsed="false">
      <c r="A53" s="28"/>
      <c r="B53" s="29"/>
      <c r="C53" s="29"/>
      <c r="D53" s="29"/>
      <c r="E53" s="35"/>
      <c r="F53" s="16"/>
      <c r="G53" s="29"/>
      <c r="H53" s="29"/>
    </row>
    <row r="54" customFormat="false" ht="15" hidden="false" customHeight="false" outlineLevel="0" collapsed="false">
      <c r="A54" s="28"/>
      <c r="B54" s="29"/>
      <c r="C54" s="29"/>
      <c r="D54" s="29"/>
      <c r="E54" s="35"/>
      <c r="F54" s="16"/>
      <c r="G54" s="29"/>
      <c r="H54" s="29"/>
    </row>
    <row r="55" customFormat="false" ht="15" hidden="false" customHeight="false" outlineLevel="0" collapsed="false">
      <c r="A55" s="28"/>
      <c r="B55" s="29"/>
      <c r="C55" s="29"/>
      <c r="D55" s="29"/>
      <c r="E55" s="35"/>
      <c r="F55" s="16"/>
      <c r="G55" s="29"/>
      <c r="H55" s="29"/>
    </row>
    <row r="56" customFormat="false" ht="15" hidden="false" customHeight="false" outlineLevel="0" collapsed="false">
      <c r="A56" s="28"/>
      <c r="B56" s="29"/>
      <c r="C56" s="29"/>
      <c r="D56" s="29"/>
      <c r="E56" s="35"/>
      <c r="F56" s="16"/>
      <c r="G56" s="29"/>
      <c r="H56" s="29"/>
    </row>
    <row r="57" customFormat="false" ht="15" hidden="false" customHeight="false" outlineLevel="0" collapsed="false">
      <c r="A57" s="28"/>
      <c r="B57" s="29"/>
      <c r="C57" s="29"/>
      <c r="D57" s="29"/>
      <c r="E57" s="35"/>
      <c r="F57" s="16"/>
      <c r="G57" s="29"/>
      <c r="H57" s="29"/>
    </row>
    <row r="58" customFormat="false" ht="15" hidden="false" customHeight="false" outlineLevel="0" collapsed="false">
      <c r="A58" s="28"/>
      <c r="B58" s="29"/>
      <c r="C58" s="29"/>
      <c r="D58" s="29"/>
      <c r="E58" s="35"/>
      <c r="F58" s="16"/>
      <c r="G58" s="29"/>
      <c r="H58" s="29"/>
    </row>
    <row r="59" customFormat="false" ht="15" hidden="false" customHeight="false" outlineLevel="0" collapsed="false">
      <c r="A59" s="28"/>
      <c r="B59" s="29"/>
      <c r="C59" s="29"/>
      <c r="D59" s="29"/>
      <c r="E59" s="35"/>
      <c r="F59" s="16"/>
      <c r="G59" s="29"/>
      <c r="H59" s="29"/>
    </row>
    <row r="60" customFormat="false" ht="15" hidden="false" customHeight="false" outlineLevel="0" collapsed="false">
      <c r="A60" s="28"/>
      <c r="B60" s="29"/>
      <c r="C60" s="29"/>
      <c r="D60" s="29"/>
      <c r="E60" s="35"/>
      <c r="F60" s="16"/>
      <c r="G60" s="29"/>
      <c r="H60" s="29"/>
    </row>
    <row r="61" customFormat="false" ht="15" hidden="false" customHeight="false" outlineLevel="0" collapsed="false">
      <c r="A61" s="28"/>
      <c r="B61" s="29"/>
      <c r="C61" s="29"/>
      <c r="D61" s="29"/>
      <c r="E61" s="35"/>
      <c r="F61" s="16"/>
      <c r="G61" s="29"/>
      <c r="H61" s="29"/>
    </row>
    <row r="62" customFormat="false" ht="15" hidden="false" customHeight="false" outlineLevel="0" collapsed="false">
      <c r="A62" s="28"/>
      <c r="B62" s="29"/>
      <c r="C62" s="29"/>
      <c r="D62" s="29"/>
      <c r="E62" s="35"/>
      <c r="F62" s="16"/>
      <c r="G62" s="29"/>
      <c r="H62" s="29"/>
    </row>
    <row r="63" customFormat="false" ht="15" hidden="false" customHeight="false" outlineLevel="0" collapsed="false">
      <c r="A63" s="28"/>
      <c r="B63" s="29"/>
      <c r="C63" s="29"/>
      <c r="D63" s="29"/>
      <c r="E63" s="35"/>
      <c r="F63" s="16"/>
      <c r="G63" s="29"/>
      <c r="H63" s="29"/>
    </row>
    <row r="64" customFormat="false" ht="15" hidden="false" customHeight="false" outlineLevel="0" collapsed="false">
      <c r="A64" s="28"/>
      <c r="B64" s="29"/>
      <c r="C64" s="29"/>
      <c r="D64" s="29"/>
      <c r="E64" s="35"/>
      <c r="F64" s="16"/>
      <c r="G64" s="29"/>
      <c r="H64" s="29"/>
    </row>
    <row r="65" customFormat="false" ht="15" hidden="false" customHeight="false" outlineLevel="0" collapsed="false">
      <c r="A65" s="28"/>
      <c r="B65" s="29"/>
      <c r="C65" s="29"/>
      <c r="D65" s="29"/>
      <c r="E65" s="35"/>
      <c r="F65" s="16"/>
      <c r="G65" s="29"/>
      <c r="H65" s="29"/>
    </row>
    <row r="66" customFormat="false" ht="15" hidden="false" customHeight="false" outlineLevel="0" collapsed="false">
      <c r="A66" s="28"/>
      <c r="B66" s="29"/>
      <c r="C66" s="29"/>
      <c r="D66" s="29"/>
      <c r="E66" s="35"/>
      <c r="F66" s="16"/>
      <c r="G66" s="29"/>
      <c r="H66" s="29"/>
    </row>
    <row r="67" customFormat="false" ht="15" hidden="false" customHeight="false" outlineLevel="0" collapsed="false">
      <c r="A67" s="28"/>
      <c r="B67" s="29"/>
      <c r="C67" s="29"/>
      <c r="D67" s="29"/>
      <c r="E67" s="35"/>
      <c r="F67" s="16"/>
      <c r="G67" s="29"/>
      <c r="H67" s="29"/>
    </row>
    <row r="68" customFormat="false" ht="15" hidden="false" customHeight="false" outlineLevel="0" collapsed="false">
      <c r="A68" s="28"/>
      <c r="B68" s="29"/>
      <c r="C68" s="29"/>
      <c r="D68" s="29"/>
      <c r="E68" s="35"/>
      <c r="F68" s="16"/>
      <c r="G68" s="29"/>
      <c r="H68" s="29"/>
    </row>
    <row r="69" customFormat="false" ht="15" hidden="false" customHeight="false" outlineLevel="0" collapsed="false">
      <c r="A69" s="28"/>
      <c r="B69" s="29"/>
      <c r="C69" s="29"/>
      <c r="D69" s="29"/>
      <c r="E69" s="35"/>
      <c r="F69" s="16"/>
      <c r="G69" s="29"/>
      <c r="H69" s="29"/>
    </row>
    <row r="70" customFormat="false" ht="15" hidden="false" customHeight="false" outlineLevel="0" collapsed="false">
      <c r="A70" s="28"/>
      <c r="B70" s="29"/>
      <c r="C70" s="29"/>
      <c r="D70" s="29"/>
      <c r="E70" s="35"/>
      <c r="F70" s="16"/>
      <c r="G70" s="29"/>
      <c r="H70" s="29"/>
    </row>
    <row r="71" customFormat="false" ht="15" hidden="false" customHeight="false" outlineLevel="0" collapsed="false">
      <c r="A71" s="28"/>
      <c r="B71" s="29"/>
      <c r="C71" s="29"/>
      <c r="D71" s="29"/>
      <c r="E71" s="35"/>
      <c r="F71" s="16"/>
      <c r="G71" s="29"/>
      <c r="H71" s="29"/>
    </row>
    <row r="72" customFormat="false" ht="15" hidden="false" customHeight="false" outlineLevel="0" collapsed="false">
      <c r="A72" s="28"/>
      <c r="B72" s="29"/>
      <c r="C72" s="29"/>
      <c r="D72" s="29"/>
      <c r="E72" s="35"/>
      <c r="F72" s="16"/>
      <c r="G72" s="29"/>
      <c r="H72" s="29"/>
    </row>
    <row r="73" customFormat="false" ht="15" hidden="false" customHeight="false" outlineLevel="0" collapsed="false">
      <c r="A73" s="28"/>
      <c r="B73" s="29"/>
      <c r="C73" s="29"/>
      <c r="D73" s="29"/>
      <c r="E73" s="35"/>
      <c r="F73" s="16"/>
      <c r="G73" s="29"/>
      <c r="H73" s="29"/>
    </row>
    <row r="74" customFormat="false" ht="15" hidden="false" customHeight="false" outlineLevel="0" collapsed="false">
      <c r="A74" s="28"/>
      <c r="B74" s="29"/>
      <c r="C74" s="29"/>
      <c r="D74" s="29"/>
      <c r="E74" s="35"/>
      <c r="F74" s="16"/>
      <c r="G74" s="29"/>
      <c r="H74" s="29"/>
    </row>
    <row r="75" customFormat="false" ht="15" hidden="false" customHeight="false" outlineLevel="0" collapsed="false">
      <c r="A75" s="28"/>
      <c r="B75" s="29"/>
      <c r="C75" s="29"/>
      <c r="D75" s="29"/>
      <c r="E75" s="35"/>
      <c r="F75" s="16"/>
      <c r="G75" s="29"/>
      <c r="H75" s="29"/>
    </row>
    <row r="76" customFormat="false" ht="15" hidden="false" customHeight="false" outlineLevel="0" collapsed="false">
      <c r="A76" s="28"/>
      <c r="B76" s="29"/>
      <c r="C76" s="29"/>
      <c r="D76" s="29"/>
      <c r="E76" s="35"/>
      <c r="F76" s="16"/>
      <c r="G76" s="29"/>
      <c r="H76" s="29"/>
    </row>
    <row r="77" customFormat="false" ht="15" hidden="false" customHeight="false" outlineLevel="0" collapsed="false">
      <c r="A77" s="28"/>
      <c r="B77" s="29"/>
      <c r="C77" s="29"/>
      <c r="D77" s="29"/>
      <c r="E77" s="35"/>
      <c r="F77" s="16"/>
      <c r="G77" s="29"/>
      <c r="H77" s="29"/>
    </row>
    <row r="78" customFormat="false" ht="15" hidden="false" customHeight="false" outlineLevel="0" collapsed="false">
      <c r="A78" s="28"/>
      <c r="B78" s="29"/>
      <c r="C78" s="29"/>
      <c r="D78" s="29"/>
      <c r="E78" s="35"/>
      <c r="F78" s="16"/>
      <c r="G78" s="29"/>
      <c r="H78" s="29"/>
    </row>
    <row r="79" customFormat="false" ht="15" hidden="false" customHeight="false" outlineLevel="0" collapsed="false">
      <c r="A79" s="28"/>
      <c r="B79" s="29"/>
      <c r="C79" s="29"/>
      <c r="D79" s="29"/>
      <c r="E79" s="35"/>
      <c r="F79" s="16"/>
      <c r="G79" s="29"/>
      <c r="H79" s="29"/>
    </row>
    <row r="80" customFormat="false" ht="15" hidden="false" customHeight="false" outlineLevel="0" collapsed="false">
      <c r="A80" s="28"/>
      <c r="B80" s="29"/>
      <c r="C80" s="29"/>
      <c r="D80" s="29"/>
      <c r="E80" s="35"/>
      <c r="F80" s="16"/>
      <c r="G80" s="29"/>
      <c r="H80" s="29"/>
    </row>
    <row r="81" customFormat="false" ht="15" hidden="false" customHeight="false" outlineLevel="0" collapsed="false">
      <c r="A81" s="28"/>
      <c r="B81" s="29"/>
      <c r="C81" s="29"/>
      <c r="D81" s="29"/>
      <c r="E81" s="35"/>
      <c r="F81" s="16"/>
      <c r="G81" s="29"/>
      <c r="H81" s="29"/>
    </row>
    <row r="82" customFormat="false" ht="15" hidden="false" customHeight="false" outlineLevel="0" collapsed="false">
      <c r="A82" s="28"/>
      <c r="B82" s="29"/>
      <c r="C82" s="29"/>
      <c r="D82" s="29"/>
      <c r="E82" s="35"/>
      <c r="F82" s="16"/>
      <c r="G82" s="29"/>
      <c r="H82" s="29"/>
    </row>
    <row r="83" customFormat="false" ht="15" hidden="false" customHeight="false" outlineLevel="0" collapsed="false">
      <c r="A83" s="28"/>
      <c r="B83" s="29"/>
      <c r="C83" s="29"/>
      <c r="D83" s="29"/>
      <c r="E83" s="35"/>
      <c r="F83" s="16"/>
      <c r="G83" s="29"/>
      <c r="H83" s="29"/>
    </row>
    <row r="84" customFormat="false" ht="15" hidden="false" customHeight="false" outlineLevel="0" collapsed="false">
      <c r="A84" s="28"/>
      <c r="B84" s="29"/>
      <c r="C84" s="29"/>
      <c r="D84" s="29"/>
      <c r="E84" s="35"/>
      <c r="F84" s="16"/>
      <c r="G84" s="29"/>
      <c r="H84" s="29"/>
    </row>
    <row r="85" customFormat="false" ht="15" hidden="false" customHeight="false" outlineLevel="0" collapsed="false">
      <c r="A85" s="28"/>
      <c r="B85" s="29"/>
      <c r="C85" s="29"/>
      <c r="D85" s="29"/>
      <c r="E85" s="35"/>
      <c r="F85" s="16"/>
      <c r="G85" s="29"/>
      <c r="H85" s="29"/>
    </row>
    <row r="86" customFormat="false" ht="15" hidden="false" customHeight="false" outlineLevel="0" collapsed="false">
      <c r="A86" s="28"/>
      <c r="B86" s="29"/>
      <c r="C86" s="29"/>
      <c r="D86" s="29"/>
      <c r="E86" s="35"/>
      <c r="F86" s="16"/>
      <c r="G86" s="29"/>
      <c r="H86" s="29"/>
    </row>
    <row r="87" customFormat="false" ht="15" hidden="false" customHeight="false" outlineLevel="0" collapsed="false">
      <c r="A87" s="28"/>
      <c r="B87" s="29"/>
      <c r="C87" s="29"/>
      <c r="D87" s="29"/>
      <c r="E87" s="35"/>
      <c r="F87" s="16"/>
      <c r="G87" s="29"/>
      <c r="H87" s="29"/>
    </row>
    <row r="88" customFormat="false" ht="15" hidden="false" customHeight="false" outlineLevel="0" collapsed="false">
      <c r="A88" s="28"/>
      <c r="B88" s="29"/>
      <c r="C88" s="29"/>
      <c r="D88" s="29"/>
      <c r="E88" s="35"/>
      <c r="F88" s="16"/>
      <c r="G88" s="29"/>
      <c r="H88" s="29"/>
    </row>
    <row r="89" customFormat="false" ht="15" hidden="false" customHeight="false" outlineLevel="0" collapsed="false">
      <c r="A89" s="28"/>
      <c r="B89" s="29"/>
      <c r="C89" s="29"/>
      <c r="D89" s="29"/>
      <c r="E89" s="35"/>
      <c r="F89" s="16"/>
      <c r="G89" s="29"/>
      <c r="H89" s="29"/>
    </row>
    <row r="90" customFormat="false" ht="15" hidden="false" customHeight="false" outlineLevel="0" collapsed="false">
      <c r="A90" s="28"/>
      <c r="B90" s="29"/>
      <c r="C90" s="29"/>
      <c r="D90" s="29"/>
      <c r="E90" s="35"/>
      <c r="F90" s="16"/>
      <c r="G90" s="29"/>
      <c r="H90" s="29"/>
    </row>
    <row r="91" customFormat="false" ht="15" hidden="false" customHeight="false" outlineLevel="0" collapsed="false">
      <c r="A91" s="28"/>
      <c r="B91" s="29"/>
      <c r="C91" s="29"/>
      <c r="D91" s="29"/>
      <c r="E91" s="35"/>
      <c r="F91" s="16"/>
      <c r="G91" s="29"/>
      <c r="H91" s="29"/>
    </row>
    <row r="92" customFormat="false" ht="15" hidden="false" customHeight="false" outlineLevel="0" collapsed="false">
      <c r="A92" s="28"/>
      <c r="B92" s="29"/>
      <c r="C92" s="29"/>
      <c r="D92" s="29"/>
      <c r="E92" s="35"/>
      <c r="F92" s="16"/>
      <c r="G92" s="29"/>
      <c r="H92" s="29"/>
    </row>
    <row r="93" customFormat="false" ht="15" hidden="false" customHeight="false" outlineLevel="0" collapsed="false">
      <c r="A93" s="28"/>
      <c r="B93" s="29"/>
      <c r="C93" s="29"/>
      <c r="D93" s="29"/>
      <c r="E93" s="35"/>
      <c r="F93" s="16"/>
      <c r="G93" s="29"/>
      <c r="H93" s="29"/>
    </row>
    <row r="94" customFormat="false" ht="15" hidden="false" customHeight="false" outlineLevel="0" collapsed="false">
      <c r="A94" s="28"/>
      <c r="B94" s="29"/>
      <c r="C94" s="29"/>
      <c r="D94" s="29"/>
      <c r="E94" s="35"/>
      <c r="F94" s="16"/>
      <c r="G94" s="29"/>
      <c r="H94" s="29"/>
    </row>
    <row r="95" customFormat="false" ht="15" hidden="false" customHeight="false" outlineLevel="0" collapsed="false">
      <c r="A95" s="28"/>
      <c r="B95" s="29"/>
      <c r="C95" s="29"/>
      <c r="D95" s="29"/>
      <c r="E95" s="35"/>
      <c r="F95" s="16"/>
      <c r="G95" s="29"/>
      <c r="H95" s="29"/>
    </row>
    <row r="96" customFormat="false" ht="15" hidden="false" customHeight="false" outlineLevel="0" collapsed="false">
      <c r="A96" s="28"/>
      <c r="B96" s="29"/>
      <c r="C96" s="29"/>
      <c r="D96" s="29"/>
      <c r="E96" s="35"/>
      <c r="F96" s="16"/>
      <c r="G96" s="29"/>
      <c r="H96" s="29"/>
    </row>
    <row r="97" customFormat="false" ht="15" hidden="false" customHeight="false" outlineLevel="0" collapsed="false">
      <c r="A97" s="28"/>
      <c r="B97" s="29"/>
      <c r="C97" s="29"/>
      <c r="D97" s="29"/>
      <c r="E97" s="35"/>
      <c r="F97" s="16"/>
      <c r="G97" s="29"/>
      <c r="H97" s="29"/>
    </row>
    <row r="98" customFormat="false" ht="15" hidden="false" customHeight="false" outlineLevel="0" collapsed="false">
      <c r="A98" s="28"/>
      <c r="B98" s="29"/>
      <c r="C98" s="29"/>
      <c r="D98" s="29"/>
      <c r="E98" s="35"/>
      <c r="F98" s="16"/>
      <c r="G98" s="29"/>
      <c r="H98" s="29"/>
    </row>
    <row r="99" customFormat="false" ht="15" hidden="false" customHeight="false" outlineLevel="0" collapsed="false">
      <c r="A99" s="28"/>
      <c r="B99" s="29"/>
      <c r="C99" s="29"/>
      <c r="D99" s="29"/>
      <c r="E99" s="35"/>
      <c r="F99" s="16"/>
      <c r="G99" s="29"/>
      <c r="H99" s="29"/>
    </row>
  </sheetData>
  <mergeCells count="1">
    <mergeCell ref="A1:H1"/>
  </mergeCells>
  <dataValidations count="2">
    <dataValidation allowBlank="true" errorStyle="stop" operator="between" showDropDown="false" showErrorMessage="false" showInputMessage="false" sqref="B5:B100" type="list">
      <formula1>"Lawn Signs,Door-knocking &amp; Literature,Direct Mail,Digital Ads (Facebook,Google),Print Ads (Tri-City News,etc.),Photography &amp; Video,Website &amp; Tech,Events (kickoff,town halls),Volunteer Costs (food,swag),Branded Merchandise,Polling / Research,Contingency (~"</formula1>
      <formula2>0</formula2>
    </dataValidation>
    <dataValidation allowBlank="true" errorStyle="stop" operator="between" showDropDown="false" showErrorMessage="false" showInputMessage="false" sqref="G5:G100" type="list">
      <formula1>"Planned,Committed,Paid,Cancelled"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36"/>
  </cols>
  <sheetData>
    <row r="1" customFormat="false" ht="31.5" hidden="false" customHeight="true" outlineLevel="0" collapsed="false">
      <c r="A1" s="24" t="s">
        <v>138</v>
      </c>
      <c r="B1" s="24"/>
      <c r="C1" s="24"/>
      <c r="D1" s="24"/>
      <c r="E1" s="24"/>
    </row>
    <row r="2" customFormat="false" ht="15" hidden="false" customHeight="false" outlineLevel="0" collapsed="false">
      <c r="A2" s="33" t="s">
        <v>139</v>
      </c>
      <c r="B2" s="33"/>
      <c r="C2" s="33"/>
      <c r="D2" s="33"/>
      <c r="E2" s="33"/>
    </row>
    <row r="4" customFormat="false" ht="15" hidden="false" customHeight="false" outlineLevel="0" collapsed="false">
      <c r="A4" s="22" t="s">
        <v>140</v>
      </c>
      <c r="B4" s="22"/>
      <c r="C4" s="22"/>
    </row>
    <row r="5" customFormat="false" ht="15" hidden="false" customHeight="false" outlineLevel="0" collapsed="false">
      <c r="A5" s="36" t="s">
        <v>141</v>
      </c>
      <c r="B5" s="37" t="n">
        <v>14000</v>
      </c>
      <c r="C5" s="7" t="s">
        <v>142</v>
      </c>
    </row>
    <row r="6" customFormat="false" ht="15" hidden="false" customHeight="false" outlineLevel="0" collapsed="false">
      <c r="A6" s="36" t="s">
        <v>143</v>
      </c>
      <c r="B6" s="37" t="n">
        <v>88</v>
      </c>
      <c r="C6" s="7" t="s">
        <v>144</v>
      </c>
    </row>
    <row r="7" customFormat="false" ht="15" hidden="false" customHeight="false" outlineLevel="0" collapsed="false">
      <c r="A7" s="36" t="s">
        <v>145</v>
      </c>
      <c r="B7" s="37" t="n">
        <v>2500</v>
      </c>
      <c r="C7" s="7" t="s">
        <v>146</v>
      </c>
    </row>
    <row r="8" customFormat="false" ht="15" hidden="false" customHeight="false" outlineLevel="0" collapsed="false">
      <c r="A8" s="36" t="s">
        <v>147</v>
      </c>
      <c r="B8" s="37" t="n">
        <v>3500</v>
      </c>
      <c r="C8" s="7" t="s">
        <v>146</v>
      </c>
    </row>
    <row r="9" customFormat="false" ht="15" hidden="false" customHeight="false" outlineLevel="0" collapsed="false">
      <c r="A9" s="36" t="s">
        <v>148</v>
      </c>
      <c r="B9" s="37" t="n">
        <v>1800</v>
      </c>
      <c r="C9" s="7" t="s">
        <v>146</v>
      </c>
    </row>
    <row r="10" customFormat="false" ht="12" hidden="false" customHeight="true" outlineLevel="0" collapsed="false"/>
    <row r="12" customFormat="false" ht="15" hidden="false" customHeight="false" outlineLevel="0" collapsed="false">
      <c r="A12" s="38" t="s">
        <v>149</v>
      </c>
      <c r="B12" s="38"/>
      <c r="C12" s="38"/>
      <c r="D12" s="38"/>
      <c r="E12" s="38"/>
    </row>
    <row r="13" customFormat="false" ht="15" hidden="false" customHeight="false" outlineLevel="0" collapsed="false">
      <c r="A13" s="39" t="s">
        <v>150</v>
      </c>
      <c r="B13" s="40" t="n">
        <v>14000</v>
      </c>
    </row>
    <row r="14" customFormat="false" ht="15" hidden="false" customHeight="false" outlineLevel="0" collapsed="false">
      <c r="A14" s="36" t="s">
        <v>151</v>
      </c>
      <c r="B14" s="41" t="n">
        <f aca="false">'Vendor Rates'!D9</f>
        <v>0.5</v>
      </c>
    </row>
    <row r="15" customFormat="false" ht="15" hidden="false" customHeight="false" outlineLevel="0" collapsed="false">
      <c r="A15" s="36" t="s">
        <v>152</v>
      </c>
      <c r="B15" s="42" t="n">
        <f aca="false">B13*B14</f>
        <v>7000</v>
      </c>
    </row>
    <row r="16" customFormat="false" ht="15" hidden="false" customHeight="false" outlineLevel="0" collapsed="false">
      <c r="A16" s="36" t="s">
        <v>153</v>
      </c>
      <c r="B16" s="43" t="n">
        <f aca="false">B15/30000</f>
        <v>0.233333333333333</v>
      </c>
    </row>
    <row r="18" customFormat="false" ht="12" hidden="false" customHeight="true" outlineLevel="0" collapsed="false"/>
    <row r="19" customFormat="false" ht="15" hidden="false" customHeight="false" outlineLevel="0" collapsed="false">
      <c r="A19" s="38" t="s">
        <v>154</v>
      </c>
      <c r="B19" s="38"/>
      <c r="C19" s="38"/>
      <c r="D19" s="38"/>
      <c r="E19" s="38"/>
    </row>
    <row r="20" customFormat="false" ht="15" hidden="false" customHeight="false" outlineLevel="0" collapsed="false">
      <c r="A20" s="39" t="s">
        <v>155</v>
      </c>
      <c r="B20" s="40" t="n">
        <v>300</v>
      </c>
    </row>
    <row r="21" customFormat="false" ht="15" hidden="false" customHeight="false" outlineLevel="0" collapsed="false">
      <c r="A21" s="36" t="s">
        <v>156</v>
      </c>
      <c r="B21" s="41" t="n">
        <f aca="false">'Vendor Rates'!D5</f>
        <v>10</v>
      </c>
    </row>
    <row r="22" customFormat="false" ht="15" hidden="false" customHeight="false" outlineLevel="0" collapsed="false">
      <c r="A22" s="36" t="s">
        <v>157</v>
      </c>
      <c r="B22" s="44" t="n">
        <f aca="false">B20</f>
        <v>300</v>
      </c>
    </row>
    <row r="23" customFormat="false" ht="15" hidden="false" customHeight="false" outlineLevel="0" collapsed="false">
      <c r="A23" s="36" t="s">
        <v>158</v>
      </c>
      <c r="B23" s="41" t="n">
        <f aca="false">'Vendor Rates'!D6</f>
        <v>1.5</v>
      </c>
    </row>
    <row r="24" customFormat="false" ht="15" hidden="false" customHeight="false" outlineLevel="0" collapsed="false">
      <c r="A24" s="39" t="s">
        <v>159</v>
      </c>
      <c r="B24" s="40" t="n">
        <v>4</v>
      </c>
    </row>
    <row r="25" customFormat="false" ht="15" hidden="false" customHeight="false" outlineLevel="0" collapsed="false">
      <c r="A25" s="36" t="s">
        <v>160</v>
      </c>
      <c r="B25" s="41" t="n">
        <f aca="false">'Vendor Rates'!D7</f>
        <v>120</v>
      </c>
    </row>
    <row r="26" customFormat="false" ht="15" hidden="false" customHeight="false" outlineLevel="0" collapsed="false">
      <c r="A26" s="36" t="s">
        <v>152</v>
      </c>
      <c r="B26" s="42" t="n">
        <f aca="false">B20*B21+B22*B23+B24*B25</f>
        <v>3930</v>
      </c>
    </row>
    <row r="27" customFormat="false" ht="12" hidden="false" customHeight="true" outlineLevel="0" collapsed="false"/>
    <row r="28" customFormat="false" ht="15" hidden="false" customHeight="false" outlineLevel="0" collapsed="false">
      <c r="A28" s="38" t="s">
        <v>161</v>
      </c>
      <c r="B28" s="38"/>
      <c r="C28" s="38"/>
      <c r="D28" s="38"/>
      <c r="E28" s="38"/>
    </row>
    <row r="29" customFormat="false" ht="15" hidden="false" customHeight="false" outlineLevel="0" collapsed="false">
      <c r="A29" s="39" t="s">
        <v>162</v>
      </c>
      <c r="B29" s="40" t="n">
        <v>5000</v>
      </c>
    </row>
    <row r="30" customFormat="false" ht="15" hidden="false" customHeight="false" outlineLevel="0" collapsed="false">
      <c r="A30" s="36" t="s">
        <v>163</v>
      </c>
      <c r="B30" s="41" t="n">
        <f aca="false">'Vendor Rates'!D8</f>
        <v>0.4</v>
      </c>
    </row>
    <row r="31" customFormat="false" ht="15" hidden="false" customHeight="false" outlineLevel="0" collapsed="false">
      <c r="A31" s="36" t="s">
        <v>152</v>
      </c>
      <c r="B31" s="42" t="n">
        <f aca="false">B29*B30</f>
        <v>2000</v>
      </c>
    </row>
    <row r="32" customFormat="false" ht="15" hidden="false" customHeight="false" outlineLevel="0" collapsed="false">
      <c r="A32" s="36" t="s">
        <v>164</v>
      </c>
      <c r="B32" s="44" t="n">
        <f aca="false">B29/50</f>
        <v>100</v>
      </c>
    </row>
    <row r="33" customFormat="false" ht="15" hidden="false" customHeight="false" outlineLevel="0" collapsed="false">
      <c r="A33" s="36" t="s">
        <v>165</v>
      </c>
      <c r="B33" s="44" t="n">
        <f aca="false">B29/50</f>
        <v>100</v>
      </c>
    </row>
    <row r="34" customFormat="false" ht="12" hidden="false" customHeight="true" outlineLevel="0" collapsed="false"/>
    <row r="35" customFormat="false" ht="15" hidden="false" customHeight="false" outlineLevel="0" collapsed="false">
      <c r="A35" s="38" t="s">
        <v>166</v>
      </c>
      <c r="B35" s="38"/>
      <c r="C35" s="38"/>
      <c r="D35" s="38"/>
      <c r="E35" s="38"/>
    </row>
    <row r="36" customFormat="false" ht="15" hidden="false" customHeight="false" outlineLevel="0" collapsed="false">
      <c r="A36" s="39" t="s">
        <v>167</v>
      </c>
      <c r="B36" s="16" t="n">
        <v>2000</v>
      </c>
    </row>
    <row r="37" customFormat="false" ht="15" hidden="false" customHeight="false" outlineLevel="0" collapsed="false">
      <c r="A37" s="39" t="s">
        <v>168</v>
      </c>
      <c r="B37" s="16" t="n">
        <v>0.85</v>
      </c>
    </row>
    <row r="38" customFormat="false" ht="15" hidden="false" customHeight="false" outlineLevel="0" collapsed="false">
      <c r="A38" s="36" t="s">
        <v>169</v>
      </c>
      <c r="B38" s="44" t="n">
        <f aca="false">B36/B37</f>
        <v>2352.94117647059</v>
      </c>
    </row>
    <row r="39" customFormat="false" ht="15" hidden="false" customHeight="false" outlineLevel="0" collapsed="false">
      <c r="A39" s="39" t="s">
        <v>170</v>
      </c>
      <c r="B39" s="16" t="n">
        <v>8.5</v>
      </c>
    </row>
    <row r="40" customFormat="false" ht="15" hidden="false" customHeight="false" outlineLevel="0" collapsed="false">
      <c r="A40" s="36" t="s">
        <v>171</v>
      </c>
      <c r="B40" s="44" t="n">
        <f aca="false">B36/B39*1000</f>
        <v>235294.117647059</v>
      </c>
    </row>
    <row r="41" customFormat="false" ht="15" hidden="false" customHeight="false" outlineLevel="0" collapsed="false">
      <c r="A41" s="36" t="s">
        <v>172</v>
      </c>
      <c r="B41" s="43" t="n">
        <f aca="false">B40/B5</f>
        <v>16.8067226890756</v>
      </c>
    </row>
  </sheetData>
  <mergeCells count="7">
    <mergeCell ref="A1:E1"/>
    <mergeCell ref="A2:E2"/>
    <mergeCell ref="A4:C4"/>
    <mergeCell ref="A12:E12"/>
    <mergeCell ref="A19:E19"/>
    <mergeCell ref="A28:E28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2026-04-30T19:41:06Z</dcterms:created>
  <dc:creator>openpyxl</dc:creator>
  <dc:description/>
  <dc:language>en-US</dc:language>
  <cp:lastModifiedBy/>
  <dcterms:modified xsi:type="dcterms:W3CDTF">2026-04-30T19:41:06Z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